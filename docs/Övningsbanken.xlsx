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s mig" sheetId="1" state="visible" r:id="rId1"/>
    <sheet xmlns:r="http://schemas.openxmlformats.org/officeDocument/2006/relationships" name="Övningar" sheetId="2" state="visible" r:id="rId2"/>
    <sheet xmlns:r="http://schemas.openxmlformats.org/officeDocument/2006/relationships" name="Taggar" sheetId="3" state="visible" r:id="rId3"/>
    <sheet xmlns:r="http://schemas.openxmlformats.org/officeDocument/2006/relationships" name="Filmer" sheetId="4" state="visible" r:id="rId4"/>
    <sheet xmlns:r="http://schemas.openxmlformats.org/officeDocument/2006/relationships" name="Kunskap" sheetId="5" state="visible" r:id="rId5"/>
    <sheet xmlns:r="http://schemas.openxmlformats.org/officeDocument/2006/relationships" name="Planera pass" sheetId="6" state="visible" r:id="rId6"/>
  </sheets>
  <definedNames>
    <definedName name="_xlnm._FilterDatabase" localSheetId="1" hidden="1">'Övningar'!$A$2:$AE$61</definedName>
    <definedName name="_xlnm._FilterDatabase" localSheetId="4" hidden="1">'Kunskap'!$A$1:$H$19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color rgb="000563C1"/>
      <sz val="10"/>
    </font>
    <font>
      <name val="Arial"/>
      <b val="1"/>
      <color rgb="00000000"/>
      <sz val="14"/>
    </font>
    <font>
      <name val="Arial"/>
      <color rgb="000000FF"/>
      <sz val="10"/>
    </font>
    <font>
      <name val="Arial"/>
      <b val="1"/>
      <color rgb="00000000"/>
      <sz val="16"/>
    </font>
    <font>
      <name val="Arial"/>
      <b val="1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CCF5F3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D9F99D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pivotButton="0" quotePrefix="0" xfId="0"/>
    <xf numFmtId="1" fontId="3" fillId="0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  <xf numFmtId="0" fontId="7" fillId="8" borderId="1" pivotButton="0" quotePrefix="0" xfId="0"/>
    <xf numFmtId="164" fontId="7" fillId="8" borderId="1" pivotButton="0" quotePrefix="0" xfId="0"/>
    <xf numFmtId="0" fontId="7" fillId="8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8bitcat.github.io/cap-online/media/uppvarmning-bollkontroll.mp4" TargetMode="External" Id="rId1"/><Relationship Type="http://schemas.openxmlformats.org/officeDocument/2006/relationships/hyperlink" Target="https://drive.google.com/file/d/1cue2ZXWEBrFFyDYEyPELCqxWCRMVhY_s/view" TargetMode="External" Id="rId2"/><Relationship Type="http://schemas.openxmlformats.org/officeDocument/2006/relationships/hyperlink" Target="https://8bitcat.github.io/cap-online/media/forsta-touch.mp4" TargetMode="External" Id="rId3"/><Relationship Type="http://schemas.openxmlformats.org/officeDocument/2006/relationships/hyperlink" Target="https://drive.google.com/file/d/1Qq-mIfgJarv7BwjPla10wvayAyLlaSbO/view" TargetMode="External" Id="rId4"/><Relationship Type="http://schemas.openxmlformats.org/officeDocument/2006/relationships/hyperlink" Target="https://8bitcat.github.io/cap-online/media/passningar.mp4" TargetMode="External" Id="rId5"/><Relationship Type="http://schemas.openxmlformats.org/officeDocument/2006/relationships/hyperlink" Target="https://drive.google.com/file/d/1zejOW-2uw8jAs-PIGPQBjluhKygmM_x5/view" TargetMode="External" Id="rId6"/><Relationship Type="http://schemas.openxmlformats.org/officeDocument/2006/relationships/hyperlink" Target="https://8bitcat.github.io/cap-online/media/dribblingar.mp4" TargetMode="External" Id="rId7"/><Relationship Type="http://schemas.openxmlformats.org/officeDocument/2006/relationships/hyperlink" Target="https://drive.google.com/file/d/12a3m67s_FwOBBFN5P00lz0Mv7mILYEFJ/view" TargetMode="External" Id="rId8"/><Relationship Type="http://schemas.openxmlformats.org/officeDocument/2006/relationships/hyperlink" Target="https://8bitcat.github.io/cap-online/media/koordination.mp4" TargetMode="External" Id="rId9"/><Relationship Type="http://schemas.openxmlformats.org/officeDocument/2006/relationships/hyperlink" Target="https://drive.google.com/file/d/1xHuc5FMzTAQVoExtvHujGWdkIYvPuclM/view" TargetMode="External" Id="rId10"/><Relationship Type="http://schemas.openxmlformats.org/officeDocument/2006/relationships/hyperlink" Target="https://drive.google.com/file/d/1QRk19keshcHTluFjk6jGoonim_CUAVen/view" TargetMode="External" Id="rId11"/><Relationship Type="http://schemas.openxmlformats.org/officeDocument/2006/relationships/hyperlink" Target="https://8bitcat.github.io/cap-online/media/passningar.mp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Övningsbanken – CAP Online</t>
        </is>
      </c>
    </row>
    <row r="2">
      <c r="A2" s="2" t="inlineStr">
        <is>
          <t>Alla övningar som finns i appen i dag (2026-10-26). Fyll på med dina egna övningar och tagga dem, så kan vi planera pass och läsa in listan i appen igen.</t>
        </is>
      </c>
    </row>
    <row r="4">
      <c r="A4" s="3" t="inlineStr">
        <is>
          <t>Övningar i banken</t>
        </is>
      </c>
      <c r="B4" s="4">
        <f>COUNTA('Övningar'!$B$3:$B$500)</f>
        <v/>
      </c>
    </row>
    <row r="5">
      <c r="A5" s="3" t="inlineStr">
        <is>
          <t>– varav med film</t>
        </is>
      </c>
      <c r="B5" s="4">
        <f>COUNTIF('Övningar'!$N$3:$N$500,"Ja")</f>
        <v/>
      </c>
    </row>
    <row r="6">
      <c r="A6" s="3" t="inlineStr">
        <is>
          <t>– varav utan film (att filma)</t>
        </is>
      </c>
      <c r="B6" s="4">
        <f>COUNTIF('Övningar'!$N$3:$N$500,"Nej")</f>
        <v/>
      </c>
    </row>
    <row r="7">
      <c r="A7" s="3" t="inlineStr">
        <is>
          <t>Filmer</t>
        </is>
      </c>
      <c r="B7" s="4">
        <f>COUNTA('Filmer'!$A$2:$A$80)</f>
        <v/>
      </c>
    </row>
    <row r="8">
      <c r="A8" s="3" t="inlineStr">
        <is>
          <t>Kunskapstexter</t>
        </is>
      </c>
      <c r="B8" s="4">
        <f>COUNTA('Kunskap'!$A$2:$A$200)</f>
        <v/>
      </c>
    </row>
    <row r="10">
      <c r="A10" s="5" t="inlineStr">
        <is>
          <t>Så här fyller du i</t>
        </is>
      </c>
    </row>
    <row r="11">
      <c r="A11" s="6" t="inlineStr">
        <is>
          <t>Fliken Övningar</t>
        </is>
      </c>
      <c r="B11" s="7" t="inlineStr">
        <is>
          <t>En rad per övning. Raderna som redan finns kommer från appen. Lägg nya övningar på de tomma raderna längst ner och lämna ID tomt – det sätts när vi läser in filen.</t>
        </is>
      </c>
    </row>
    <row r="12">
      <c r="A12" s="6" t="inlineStr">
        <is>
          <t>Gula rubriker</t>
        </is>
      </c>
      <c r="B12" s="7" t="inlineStr">
        <is>
          <t>Kolumner som du fyller i eller kontrollerar. Grå rubriker kommer från appen och behöver du inte röra.</t>
        </is>
      </c>
    </row>
    <row r="13">
      <c r="A13" s="6" t="inlineStr">
        <is>
          <t>Taggarna som redan står</t>
        </is>
      </c>
      <c r="B13" s="7" t="inlineStr">
        <is>
          <t>Färdighet, nivå, yta och sällskap på de befintliga raderna är Carls tolkning av filmerna. Rätta det som är fel.</t>
        </is>
      </c>
    </row>
    <row r="14">
      <c r="A14" s="6" t="inlineStr">
        <is>
          <t>Rullistor</t>
        </is>
      </c>
      <c r="B14" s="7" t="inlineStr">
        <is>
          <t>Tryck på pilen i cellen. Listorna ligger på fliken Taggar, där kan du lägga till egna värden.</t>
        </is>
      </c>
    </row>
    <row r="15">
      <c r="A15" s="6" t="inlineStr">
        <is>
          <t>Kryss</t>
        </is>
      </c>
      <c r="B15" s="7" t="inlineStr">
        <is>
          <t>Kolumnerna Boll, Koner, Mål, Vägg, Medspelare, Stege/häckar och Ensam, Med förälder, Med kompis: skriv x när det stämmer, annars tomt.</t>
        </is>
      </c>
    </row>
    <row r="16">
      <c r="A16" s="6" t="inlineStr">
        <is>
          <t>Flera värden</t>
        </is>
      </c>
      <c r="B16" s="7" t="inlineStr">
        <is>
          <t>Färdighet, Erfarenhet, Position och Plats får innehålla flera värden med kommatecken, t.ex. "Första touch, Passning insida". Alla = passar alla.</t>
        </is>
      </c>
    </row>
    <row r="17">
      <c r="A17" s="6" t="inlineStr">
        <is>
          <t>Tid och måltid</t>
        </is>
      </c>
      <c r="B17" s="7" t="inlineStr">
        <is>
          <t>Tid (min) är hur länge momentet tar i ett pass. Måltid (s) används bara för Tidtagning: tiden barnet ska klara.</t>
        </is>
      </c>
    </row>
    <row r="18">
      <c r="A18" s="6" t="inlineStr">
        <is>
          <t>Nivå (1–5)</t>
        </is>
      </c>
      <c r="B18" s="7" t="inlineStr">
        <is>
          <t>Samma nivåer som i klientregistret: 1 Bollkompis, 2 Touchmästare, 3 Dribblare, 4 Spelmotor, 5 Matchvinnare. Ange den lägsta nivå övningen passar för.</t>
        </is>
      </c>
    </row>
    <row r="19">
      <c r="A19" s="6" t="inlineStr">
        <is>
          <t>Ålder</t>
        </is>
      </c>
      <c r="B19" s="7" t="inlineStr">
        <is>
          <t>Ålder från och till i hela år, t.ex. 7 och 10. Appen är gjord för 7–14 år.</t>
        </is>
      </c>
    </row>
    <row r="20">
      <c r="A20" s="6" t="inlineStr">
        <is>
          <t>Film</t>
        </is>
      </c>
      <c r="B20" s="7" t="inlineStr">
        <is>
          <t>Välj film från fliken Filmer (lägg till nya filmer där först, med länk). Start och Slut är sekunder i filmen där momentet börjar och slutar – appen hoppar dit.</t>
        </is>
      </c>
    </row>
    <row r="21">
      <c r="A21" s="6" t="inlineStr">
        <is>
          <t>Finns film?</t>
        </is>
      </c>
      <c r="B21" s="7" t="inlineStr">
        <is>
          <t>Nej = övningen finns i appen som text men saknar film. Röd markering visar vad som återstår att filma.</t>
        </is>
      </c>
    </row>
    <row r="22">
      <c r="A22" s="6" t="inlineStr">
        <is>
          <t>Fliken Planera pass</t>
        </is>
      </c>
      <c r="B22" s="7" t="inlineStr">
        <is>
          <t>Välj övningar i rullistan så räknas tiden ihop mot riktmärket. Kopiera fliken för fler pass.</t>
        </is>
      </c>
    </row>
    <row r="23">
      <c r="A23" s="6" t="inlineStr">
        <is>
          <t>Fliken Kunskap</t>
        </is>
      </c>
      <c r="B23" s="7" t="inlineStr">
        <is>
          <t>Texterna i appen (regler, tips, positionens jobb). Rött = texten väntar på dig.</t>
        </is>
      </c>
    </row>
    <row r="24">
      <c r="A24" s="6" t="inlineStr">
        <is>
          <t>Fliken Taggar</t>
        </is>
      </c>
      <c r="B24" s="7" t="inlineStr">
        <is>
          <t>Listorna bakom rullistorna. Lägg till egna värden under rätt rubrik.</t>
        </is>
      </c>
    </row>
    <row r="26">
      <c r="A26" s="5" t="inlineStr">
        <is>
          <t>Exempel</t>
        </is>
      </c>
    </row>
    <row r="27">
      <c r="A27" s="8" t="inlineStr">
        <is>
          <t>Raden "Bollkänsla och första driv" överst på fliken Övningar är helt ifylld och visar hur en rad ska se ut.</t>
        </is>
      </c>
    </row>
    <row r="29">
      <c r="A29" s="5" t="inlineStr">
        <is>
          <t>Frågor</t>
        </is>
      </c>
    </row>
    <row r="30">
      <c r="A30" s="8" t="inlineStr">
        <is>
          <t>Skriv i kolumnen Anteckning (Haris) på raden det gäller, eller till Carl.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58" customWidth="1" min="3" max="3"/>
    <col width="12" customWidth="1" min="4" max="4"/>
    <col width="8" customWidth="1" min="5" max="5"/>
    <col width="9" customWidth="1" min="6" max="6"/>
    <col width="13" customWidth="1" min="7" max="7"/>
    <col width="13" customWidth="1" min="8" max="8"/>
    <col width="28" customWidth="1" min="9" max="9"/>
    <col width="16" customWidth="1" min="10" max="10"/>
    <col width="28" customWidth="1" min="11" max="11"/>
    <col width="8" customWidth="1" min="12" max="12"/>
    <col width="8" customWidth="1" min="13" max="13"/>
    <col width="10" customWidth="1" min="14" max="14"/>
    <col width="7" customWidth="1" min="15" max="15"/>
    <col width="7" customWidth="1" min="16" max="16"/>
    <col width="16" customWidth="1" min="17" max="17"/>
    <col width="13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17" customWidth="1" min="25" max="25"/>
    <col width="5" customWidth="1" min="26" max="26"/>
    <col width="5" customWidth="1" min="27" max="27"/>
    <col width="5" customWidth="1" min="28" max="28"/>
    <col width="10" customWidth="1" min="29" max="29"/>
    <col width="36" customWidth="1" min="30" max="30"/>
    <col width="30" customWidth="1" min="31" max="31"/>
  </cols>
  <sheetData>
    <row r="1" ht="18" customHeight="1">
      <c r="A1" s="9" t="inlineStr">
        <is>
          <t>Övning</t>
        </is>
      </c>
      <c r="K1" s="10" t="inlineStr">
        <is>
          <t>Film</t>
        </is>
      </c>
      <c r="O1" s="11" t="inlineStr">
        <is>
          <t>För vem</t>
        </is>
      </c>
      <c r="S1" s="12" t="inlineStr">
        <is>
          <t>Vad som behövs</t>
        </is>
      </c>
      <c r="AD1" s="13" t="inlineStr">
        <is>
          <t>Övrigt</t>
        </is>
      </c>
    </row>
    <row r="2" ht="78" customHeight="1">
      <c r="A2" s="14" t="inlineStr">
        <is>
          <t>ID</t>
        </is>
      </c>
      <c r="B2" s="14" t="inlineStr">
        <is>
          <t>Övning</t>
        </is>
      </c>
      <c r="C2" s="14" t="inlineStr">
        <is>
          <t>Instruktion</t>
        </is>
      </c>
      <c r="D2" s="15" t="inlineStr">
        <is>
          <t>Typ</t>
        </is>
      </c>
      <c r="E2" s="15" t="inlineStr">
        <is>
          <t>Tid (min)</t>
        </is>
      </c>
      <c r="F2" s="15" t="inlineStr">
        <is>
          <t>Måltid (s)</t>
        </is>
      </c>
      <c r="G2" s="15" t="inlineStr">
        <is>
          <t>Fas i passet</t>
        </is>
      </c>
      <c r="H2" s="15" t="inlineStr">
        <is>
          <t>Område</t>
        </is>
      </c>
      <c r="I2" s="15" t="inlineStr">
        <is>
          <t>Färdighet</t>
        </is>
      </c>
      <c r="J2" s="15" t="inlineStr">
        <is>
          <t>Nivå (1–5)</t>
        </is>
      </c>
      <c r="K2" s="14" t="inlineStr">
        <is>
          <t>Film</t>
        </is>
      </c>
      <c r="L2" s="14" t="inlineStr">
        <is>
          <t>Start (s)</t>
        </is>
      </c>
      <c r="M2" s="14" t="inlineStr">
        <is>
          <t>Slut (s)</t>
        </is>
      </c>
      <c r="N2" s="15" t="inlineStr">
        <is>
          <t>Finns film?</t>
        </is>
      </c>
      <c r="O2" s="15" t="inlineStr">
        <is>
          <t>Ålder från</t>
        </is>
      </c>
      <c r="P2" s="15" t="inlineStr">
        <is>
          <t>Ålder till</t>
        </is>
      </c>
      <c r="Q2" s="15" t="inlineStr">
        <is>
          <t>Erfarenhet</t>
        </is>
      </c>
      <c r="R2" s="15" t="inlineStr">
        <is>
          <t>Position</t>
        </is>
      </c>
      <c r="S2" s="16" t="inlineStr">
        <is>
          <t>Boll</t>
        </is>
      </c>
      <c r="T2" s="16" t="inlineStr">
        <is>
          <t>Koner</t>
        </is>
      </c>
      <c r="U2" s="16" t="inlineStr">
        <is>
          <t>Mål</t>
        </is>
      </c>
      <c r="V2" s="16" t="inlineStr">
        <is>
          <t>Vägg</t>
        </is>
      </c>
      <c r="W2" s="16" t="inlineStr">
        <is>
          <t>Medspelare</t>
        </is>
      </c>
      <c r="X2" s="16" t="inlineStr">
        <is>
          <t>Stege/häckar</t>
        </is>
      </c>
      <c r="Y2" s="15" t="inlineStr">
        <is>
          <t>Yta</t>
        </is>
      </c>
      <c r="Z2" s="16" t="inlineStr">
        <is>
          <t>Ensam</t>
        </is>
      </c>
      <c r="AA2" s="16" t="inlineStr">
        <is>
          <t>Med förälder</t>
        </is>
      </c>
      <c r="AB2" s="16" t="inlineStr">
        <is>
          <t>Med kompis</t>
        </is>
      </c>
      <c r="AC2" s="15" t="inlineStr">
        <is>
          <t>Plats</t>
        </is>
      </c>
      <c r="AD2" s="14" t="inlineStr">
        <is>
          <t>Källa i appen</t>
        </is>
      </c>
      <c r="AE2" s="15" t="inlineStr">
        <is>
          <t>Anteckning (Haris)</t>
        </is>
      </c>
    </row>
    <row r="3">
      <c r="A3" s="17" t="inlineStr">
        <is>
          <t>ub1</t>
        </is>
      </c>
      <c r="B3" s="18" t="inlineStr">
        <is>
          <t>Bollkänsla och första driv</t>
        </is>
      </c>
      <c r="C3" s="18" t="inlineStr">
        <is>
          <t>Sulan, tårna och in- och utsida på stället, sedan ett lugnt driv över planen med bollen nära.</t>
        </is>
      </c>
      <c r="D3" s="17" t="inlineStr">
        <is>
          <t>Övning</t>
        </is>
      </c>
      <c r="E3" s="19" t="n">
        <v>3</v>
      </c>
      <c r="F3" s="19" t="n"/>
      <c r="G3" s="17" t="inlineStr">
        <is>
          <t>Uppvärmning</t>
        </is>
      </c>
      <c r="H3" s="17" t="inlineStr">
        <is>
          <t>Bollkontroll</t>
        </is>
      </c>
      <c r="I3" s="18" t="inlineStr">
        <is>
          <t>Jonglering &amp; bollkänsla, Driv</t>
        </is>
      </c>
      <c r="J3" s="17" t="inlineStr">
        <is>
          <t>1 Bollkompis</t>
        </is>
      </c>
      <c r="K3" s="17" t="inlineStr">
        <is>
          <t>Uppvärmning + bollkontroll</t>
        </is>
      </c>
      <c r="L3" s="19" t="n">
        <v>1</v>
      </c>
      <c r="M3" s="19" t="n">
        <v>11</v>
      </c>
      <c r="N3" s="20" t="inlineStr">
        <is>
          <t>Ja</t>
        </is>
      </c>
      <c r="O3" s="19" t="n">
        <v>7</v>
      </c>
      <c r="P3" s="19" t="n">
        <v>14</v>
      </c>
      <c r="Q3" s="17" t="inlineStr">
        <is>
          <t>Alla</t>
        </is>
      </c>
      <c r="R3" s="17" t="inlineStr">
        <is>
          <t>Alla</t>
        </is>
      </c>
      <c r="S3" s="20" t="inlineStr">
        <is>
          <t>x</t>
        </is>
      </c>
      <c r="T3" s="20" t="inlineStr">
        <is>
          <t>x</t>
        </is>
      </c>
      <c r="U3" s="20" t="n"/>
      <c r="V3" s="20" t="n"/>
      <c r="W3" s="20" t="n"/>
      <c r="X3" s="20" t="n"/>
      <c r="Y3" s="17" t="inlineStr">
        <is>
          <t>Mellan (10×10 m)</t>
        </is>
      </c>
      <c r="Z3" s="20" t="inlineStr">
        <is>
          <t>x</t>
        </is>
      </c>
      <c r="AA3" s="20" t="inlineStr">
        <is>
          <t>x</t>
        </is>
      </c>
      <c r="AB3" s="20" t="n"/>
      <c r="AC3" s="17" t="inlineStr">
        <is>
          <t>Alla</t>
        </is>
      </c>
      <c r="AD3" s="18" t="inlineStr">
        <is>
          <t>CAP-passet del 1 Uppvärmning + bollkontroll, moment 1</t>
        </is>
      </c>
      <c r="AE3" s="18" t="inlineStr"/>
    </row>
    <row r="4">
      <c r="A4" s="17" t="inlineStr">
        <is>
          <t>ub2</t>
        </is>
      </c>
      <c r="B4" s="18" t="inlineStr">
        <is>
          <t>In- och utsida i sidled</t>
        </is>
      </c>
      <c r="C4" s="18" t="inlineStr">
        <is>
          <t>Flytta bollen mellan fötterna och följ med i sidled. Närbilden visar hur nära bollen ska vara.</t>
        </is>
      </c>
      <c r="D4" s="17" t="inlineStr">
        <is>
          <t>Övning</t>
        </is>
      </c>
      <c r="E4" s="19" t="n">
        <v>2</v>
      </c>
      <c r="F4" s="19" t="n"/>
      <c r="G4" s="17" t="inlineStr">
        <is>
          <t>Uppvärmning</t>
        </is>
      </c>
      <c r="H4" s="17" t="inlineStr">
        <is>
          <t>Bollkontroll</t>
        </is>
      </c>
      <c r="I4" s="18" t="inlineStr">
        <is>
          <t>Jonglering &amp; bollkänsla</t>
        </is>
      </c>
      <c r="J4" s="17" t="inlineStr">
        <is>
          <t>1 Bollkompis</t>
        </is>
      </c>
      <c r="K4" s="17" t="inlineStr">
        <is>
          <t>Uppvärmning + bollkontroll</t>
        </is>
      </c>
      <c r="L4" s="19" t="n">
        <v>12</v>
      </c>
      <c r="M4" s="19" t="n">
        <v>26</v>
      </c>
      <c r="N4" s="20" t="inlineStr">
        <is>
          <t>Ja</t>
        </is>
      </c>
      <c r="O4" s="19" t="n">
        <v>7</v>
      </c>
      <c r="P4" s="19" t="n">
        <v>14</v>
      </c>
      <c r="Q4" s="17" t="inlineStr">
        <is>
          <t>Alla</t>
        </is>
      </c>
      <c r="R4" s="17" t="inlineStr">
        <is>
          <t>Alla</t>
        </is>
      </c>
      <c r="S4" s="20" t="inlineStr">
        <is>
          <t>x</t>
        </is>
      </c>
      <c r="T4" s="20" t="inlineStr">
        <is>
          <t>x</t>
        </is>
      </c>
      <c r="U4" s="20" t="n"/>
      <c r="V4" s="20" t="n"/>
      <c r="W4" s="20" t="n"/>
      <c r="X4" s="20" t="n"/>
      <c r="Y4" s="17" t="inlineStr">
        <is>
          <t>Mellan (10×10 m)</t>
        </is>
      </c>
      <c r="Z4" s="20" t="inlineStr">
        <is>
          <t>x</t>
        </is>
      </c>
      <c r="AA4" s="20" t="inlineStr">
        <is>
          <t>x</t>
        </is>
      </c>
      <c r="AB4" s="20" t="n"/>
      <c r="AC4" s="17" t="inlineStr">
        <is>
          <t>Alla</t>
        </is>
      </c>
      <c r="AD4" s="18" t="inlineStr">
        <is>
          <t>CAP-passet del 1 Uppvärmning + bollkontroll, moment 2</t>
        </is>
      </c>
      <c r="AE4" s="18" t="inlineStr"/>
    </row>
    <row r="5">
      <c r="A5" s="17" t="inlineStr">
        <is>
          <t>ub3</t>
        </is>
      </c>
      <c r="B5" s="18" t="inlineStr">
        <is>
          <t>Driv, vändning och riktningsbyte</t>
        </is>
      </c>
      <c r="C5" s="18" t="inlineStr">
        <is>
          <t>Driv iväg, vänd med sulan eller insidan och driv tillbaka. Byt riktning vid linjen.</t>
        </is>
      </c>
      <c r="D5" s="17" t="inlineStr">
        <is>
          <t>Övning</t>
        </is>
      </c>
      <c r="E5" s="19" t="n">
        <v>3</v>
      </c>
      <c r="F5" s="19" t="n"/>
      <c r="G5" s="17" t="inlineStr">
        <is>
          <t>Uppvärmning</t>
        </is>
      </c>
      <c r="H5" s="17" t="inlineStr">
        <is>
          <t>Bollkontroll</t>
        </is>
      </c>
      <c r="I5" s="18" t="inlineStr">
        <is>
          <t>Driv, Vändningar</t>
        </is>
      </c>
      <c r="J5" s="17" t="inlineStr">
        <is>
          <t>1 Bollkompis</t>
        </is>
      </c>
      <c r="K5" s="17" t="inlineStr">
        <is>
          <t>Uppvärmning + bollkontroll</t>
        </is>
      </c>
      <c r="L5" s="19" t="n">
        <v>27</v>
      </c>
      <c r="M5" s="19" t="n">
        <v>49</v>
      </c>
      <c r="N5" s="20" t="inlineStr">
        <is>
          <t>Ja</t>
        </is>
      </c>
      <c r="O5" s="19" t="n">
        <v>7</v>
      </c>
      <c r="P5" s="19" t="n">
        <v>14</v>
      </c>
      <c r="Q5" s="17" t="inlineStr">
        <is>
          <t>Alla</t>
        </is>
      </c>
      <c r="R5" s="17" t="inlineStr">
        <is>
          <t>Alla</t>
        </is>
      </c>
      <c r="S5" s="20" t="inlineStr">
        <is>
          <t>x</t>
        </is>
      </c>
      <c r="T5" s="20" t="inlineStr">
        <is>
          <t>x</t>
        </is>
      </c>
      <c r="U5" s="20" t="n"/>
      <c r="V5" s="20" t="n"/>
      <c r="W5" s="20" t="n"/>
      <c r="X5" s="20" t="n"/>
      <c r="Y5" s="17" t="inlineStr">
        <is>
          <t>Mellan (10×10 m)</t>
        </is>
      </c>
      <c r="Z5" s="20" t="inlineStr">
        <is>
          <t>x</t>
        </is>
      </c>
      <c r="AA5" s="20" t="inlineStr">
        <is>
          <t>x</t>
        </is>
      </c>
      <c r="AB5" s="20" t="n"/>
      <c r="AC5" s="17" t="inlineStr">
        <is>
          <t>Alla</t>
        </is>
      </c>
      <c r="AD5" s="18" t="inlineStr">
        <is>
          <t>CAP-passet del 1 Uppvärmning + bollkontroll, moment 3</t>
        </is>
      </c>
      <c r="AE5" s="18" t="inlineStr"/>
    </row>
    <row r="6">
      <c r="A6" s="17" t="inlineStr">
        <is>
          <t>ub4</t>
        </is>
      </c>
      <c r="B6" s="18" t="inlineStr">
        <is>
          <t>Snabba touch till sist</t>
        </is>
      </c>
      <c r="C6" s="18" t="inlineStr">
        <is>
          <t>Många snabba touch på kort tid. Avsluta medan det är kul.</t>
        </is>
      </c>
      <c r="D6" s="17" t="inlineStr">
        <is>
          <t>Övning</t>
        </is>
      </c>
      <c r="E6" s="19" t="n">
        <v>2</v>
      </c>
      <c r="F6" s="19" t="n"/>
      <c r="G6" s="17" t="inlineStr">
        <is>
          <t>Uppvärmning</t>
        </is>
      </c>
      <c r="H6" s="17" t="inlineStr">
        <is>
          <t>Bollkontroll</t>
        </is>
      </c>
      <c r="I6" s="18" t="inlineStr">
        <is>
          <t>Snabba fötter, Jonglering &amp; bollkänsla</t>
        </is>
      </c>
      <c r="J6" s="17" t="inlineStr">
        <is>
          <t>1 Bollkompis</t>
        </is>
      </c>
      <c r="K6" s="17" t="inlineStr">
        <is>
          <t>Uppvärmning + bollkontroll</t>
        </is>
      </c>
      <c r="L6" s="19" t="n">
        <v>50</v>
      </c>
      <c r="M6" s="19" t="n">
        <v>66</v>
      </c>
      <c r="N6" s="20" t="inlineStr">
        <is>
          <t>Ja</t>
        </is>
      </c>
      <c r="O6" s="19" t="n">
        <v>7</v>
      </c>
      <c r="P6" s="19" t="n">
        <v>14</v>
      </c>
      <c r="Q6" s="17" t="inlineStr">
        <is>
          <t>Alla</t>
        </is>
      </c>
      <c r="R6" s="17" t="inlineStr">
        <is>
          <t>Alla</t>
        </is>
      </c>
      <c r="S6" s="20" t="inlineStr">
        <is>
          <t>x</t>
        </is>
      </c>
      <c r="T6" s="20" t="inlineStr">
        <is>
          <t>x</t>
        </is>
      </c>
      <c r="U6" s="20" t="n"/>
      <c r="V6" s="20" t="n"/>
      <c r="W6" s="20" t="n"/>
      <c r="X6" s="20" t="n"/>
      <c r="Y6" s="17" t="inlineStr">
        <is>
          <t>Mellan (10×10 m)</t>
        </is>
      </c>
      <c r="Z6" s="20" t="inlineStr">
        <is>
          <t>x</t>
        </is>
      </c>
      <c r="AA6" s="20" t="inlineStr">
        <is>
          <t>x</t>
        </is>
      </c>
      <c r="AB6" s="20" t="n"/>
      <c r="AC6" s="17" t="inlineStr">
        <is>
          <t>Alla</t>
        </is>
      </c>
      <c r="AD6" s="18" t="inlineStr">
        <is>
          <t>CAP-passet del 1 Uppvärmning + bollkontroll, moment 4</t>
        </is>
      </c>
      <c r="AE6" s="18" t="inlineStr"/>
    </row>
    <row r="7">
      <c r="A7" s="17" t="inlineStr">
        <is>
          <t>ft1</t>
        </is>
      </c>
      <c r="B7" s="18" t="inlineStr">
        <is>
          <t>Mottagning med insidan</t>
        </is>
      </c>
      <c r="C7" s="18" t="inlineStr">
        <is>
          <t>Haris rullar bollen, barnet tar emot med insidan mellan konerna och spelar tillbaka. Byt fot varannan gång.</t>
        </is>
      </c>
      <c r="D7" s="17" t="inlineStr">
        <is>
          <t>Övning</t>
        </is>
      </c>
      <c r="E7" s="19" t="n">
        <v>3</v>
      </c>
      <c r="F7" s="19" t="n"/>
      <c r="G7" s="17" t="inlineStr">
        <is>
          <t>Huvuddel</t>
        </is>
      </c>
      <c r="H7" s="17" t="inlineStr">
        <is>
          <t>Bollkontroll</t>
        </is>
      </c>
      <c r="I7" s="18" t="inlineStr">
        <is>
          <t>Första touch</t>
        </is>
      </c>
      <c r="J7" s="17" t="inlineStr">
        <is>
          <t>1 Bollkompis</t>
        </is>
      </c>
      <c r="K7" s="17" t="inlineStr">
        <is>
          <t>Första touch</t>
        </is>
      </c>
      <c r="L7" s="19" t="n">
        <v>0</v>
      </c>
      <c r="M7" s="19" t="n">
        <v>13</v>
      </c>
      <c r="N7" s="20" t="inlineStr">
        <is>
          <t>Ja</t>
        </is>
      </c>
      <c r="O7" s="19" t="n">
        <v>7</v>
      </c>
      <c r="P7" s="19" t="n">
        <v>14</v>
      </c>
      <c r="Q7" s="17" t="inlineStr">
        <is>
          <t>Alla</t>
        </is>
      </c>
      <c r="R7" s="17" t="inlineStr">
        <is>
          <t>Alla</t>
        </is>
      </c>
      <c r="S7" s="20" t="inlineStr">
        <is>
          <t>x</t>
        </is>
      </c>
      <c r="T7" s="20" t="inlineStr">
        <is>
          <t>x</t>
        </is>
      </c>
      <c r="U7" s="20" t="n"/>
      <c r="V7" s="20" t="n"/>
      <c r="W7" s="20" t="n"/>
      <c r="X7" s="20" t="n"/>
      <c r="Y7" s="17" t="inlineStr">
        <is>
          <t>Mellan (10×10 m)</t>
        </is>
      </c>
      <c r="Z7" s="20" t="n"/>
      <c r="AA7" s="20" t="inlineStr">
        <is>
          <t>x</t>
        </is>
      </c>
      <c r="AB7" s="20" t="inlineStr">
        <is>
          <t>x</t>
        </is>
      </c>
      <c r="AC7" s="17" t="inlineStr">
        <is>
          <t>Alla</t>
        </is>
      </c>
      <c r="AD7" s="18" t="inlineStr">
        <is>
          <t>CAP-passet del 2 Första touch, moment 1</t>
        </is>
      </c>
      <c r="AE7" s="18" t="inlineStr"/>
    </row>
    <row r="8">
      <c r="A8" s="17" t="inlineStr">
        <is>
          <t>ft2</t>
        </is>
      </c>
      <c r="B8" s="18" t="inlineStr">
        <is>
          <t>Riktad första touch</t>
        </is>
      </c>
      <c r="C8" s="18" t="inlineStr">
        <is>
          <t>Ta emot och styr bollen åt sidan i samma touch, spela sedan tillbaka.</t>
        </is>
      </c>
      <c r="D8" s="17" t="inlineStr">
        <is>
          <t>Övning</t>
        </is>
      </c>
      <c r="E8" s="19" t="n">
        <v>2</v>
      </c>
      <c r="F8" s="19" t="n"/>
      <c r="G8" s="17" t="inlineStr">
        <is>
          <t>Huvuddel</t>
        </is>
      </c>
      <c r="H8" s="17" t="inlineStr">
        <is>
          <t>Bollkontroll</t>
        </is>
      </c>
      <c r="I8" s="18" t="inlineStr">
        <is>
          <t>Första touch</t>
        </is>
      </c>
      <c r="J8" s="17" t="inlineStr">
        <is>
          <t>1 Bollkompis</t>
        </is>
      </c>
      <c r="K8" s="17" t="inlineStr">
        <is>
          <t>Första touch</t>
        </is>
      </c>
      <c r="L8" s="19" t="n">
        <v>14</v>
      </c>
      <c r="M8" s="19" t="n">
        <v>21</v>
      </c>
      <c r="N8" s="20" t="inlineStr">
        <is>
          <t>Ja</t>
        </is>
      </c>
      <c r="O8" s="19" t="n">
        <v>7</v>
      </c>
      <c r="P8" s="19" t="n">
        <v>14</v>
      </c>
      <c r="Q8" s="17" t="inlineStr">
        <is>
          <t>Alla</t>
        </is>
      </c>
      <c r="R8" s="17" t="inlineStr">
        <is>
          <t>Alla</t>
        </is>
      </c>
      <c r="S8" s="20" t="inlineStr">
        <is>
          <t>x</t>
        </is>
      </c>
      <c r="T8" s="20" t="inlineStr">
        <is>
          <t>x</t>
        </is>
      </c>
      <c r="U8" s="20" t="n"/>
      <c r="V8" s="20" t="n"/>
      <c r="W8" s="20" t="n"/>
      <c r="X8" s="20" t="n"/>
      <c r="Y8" s="17" t="inlineStr">
        <is>
          <t>Mellan (10×10 m)</t>
        </is>
      </c>
      <c r="Z8" s="20" t="n"/>
      <c r="AA8" s="20" t="inlineStr">
        <is>
          <t>x</t>
        </is>
      </c>
      <c r="AB8" s="20" t="inlineStr">
        <is>
          <t>x</t>
        </is>
      </c>
      <c r="AC8" s="17" t="inlineStr">
        <is>
          <t>Alla</t>
        </is>
      </c>
      <c r="AD8" s="18" t="inlineStr">
        <is>
          <t>CAP-passet del 2 Första touch, moment 2</t>
        </is>
      </c>
      <c r="AE8" s="18" t="inlineStr"/>
    </row>
    <row r="9">
      <c r="A9" s="17" t="inlineStr">
        <is>
          <t>ft3</t>
        </is>
      </c>
      <c r="B9" s="18" t="inlineStr">
        <is>
          <t>Längre bollar på avstånd</t>
        </is>
      </c>
      <c r="C9" s="18" t="inlineStr">
        <is>
          <t>Haris spelar från andra sidan konerna. Barnet möter bollen i rörelse och tar den med sig.</t>
        </is>
      </c>
      <c r="D9" s="17" t="inlineStr">
        <is>
          <t>Övning</t>
        </is>
      </c>
      <c r="E9" s="19" t="n">
        <v>3</v>
      </c>
      <c r="F9" s="19" t="n"/>
      <c r="G9" s="17" t="inlineStr">
        <is>
          <t>Huvuddel</t>
        </is>
      </c>
      <c r="H9" s="17" t="inlineStr">
        <is>
          <t>Bollkontroll</t>
        </is>
      </c>
      <c r="I9" s="18" t="inlineStr">
        <is>
          <t>Första touch</t>
        </is>
      </c>
      <c r="J9" s="17" t="inlineStr">
        <is>
          <t>1 Bollkompis</t>
        </is>
      </c>
      <c r="K9" s="17" t="inlineStr">
        <is>
          <t>Första touch</t>
        </is>
      </c>
      <c r="L9" s="19" t="n">
        <v>22</v>
      </c>
      <c r="M9" s="19" t="n">
        <v>41</v>
      </c>
      <c r="N9" s="20" t="inlineStr">
        <is>
          <t>Ja</t>
        </is>
      </c>
      <c r="O9" s="19" t="n">
        <v>7</v>
      </c>
      <c r="P9" s="19" t="n">
        <v>14</v>
      </c>
      <c r="Q9" s="17" t="inlineStr">
        <is>
          <t>Alla</t>
        </is>
      </c>
      <c r="R9" s="17" t="inlineStr">
        <is>
          <t>Alla</t>
        </is>
      </c>
      <c r="S9" s="20" t="inlineStr">
        <is>
          <t>x</t>
        </is>
      </c>
      <c r="T9" s="20" t="inlineStr">
        <is>
          <t>x</t>
        </is>
      </c>
      <c r="U9" s="20" t="n"/>
      <c r="V9" s="20" t="n"/>
      <c r="W9" s="20" t="n"/>
      <c r="X9" s="20" t="n"/>
      <c r="Y9" s="17" t="inlineStr">
        <is>
          <t>Mellan (10×10 m)</t>
        </is>
      </c>
      <c r="Z9" s="20" t="n"/>
      <c r="AA9" s="20" t="inlineStr">
        <is>
          <t>x</t>
        </is>
      </c>
      <c r="AB9" s="20" t="inlineStr">
        <is>
          <t>x</t>
        </is>
      </c>
      <c r="AC9" s="17" t="inlineStr">
        <is>
          <t>Alla</t>
        </is>
      </c>
      <c r="AD9" s="18" t="inlineStr">
        <is>
          <t>CAP-passet del 2 Första touch, moment 3</t>
        </is>
      </c>
      <c r="AE9" s="18" t="inlineStr"/>
    </row>
    <row r="10">
      <c r="A10" s="17" t="inlineStr">
        <is>
          <t>ft4</t>
        </is>
      </c>
      <c r="B10" s="18" t="inlineStr">
        <is>
          <t>Dämpa en studsande boll</t>
        </is>
      </c>
      <c r="C10" s="18" t="inlineStr">
        <is>
          <t>Bollen kastas eller studsar in. Dämpa med insida, lår eller sula och lägg den framför dig.</t>
        </is>
      </c>
      <c r="D10" s="17" t="inlineStr">
        <is>
          <t>Övning</t>
        </is>
      </c>
      <c r="E10" s="19" t="n">
        <v>2</v>
      </c>
      <c r="F10" s="19" t="n"/>
      <c r="G10" s="17" t="inlineStr">
        <is>
          <t>Huvuddel</t>
        </is>
      </c>
      <c r="H10" s="17" t="inlineStr">
        <is>
          <t>Bollkontroll</t>
        </is>
      </c>
      <c r="I10" s="18" t="inlineStr">
        <is>
          <t>Första touch</t>
        </is>
      </c>
      <c r="J10" s="17" t="inlineStr">
        <is>
          <t>1 Bollkompis</t>
        </is>
      </c>
      <c r="K10" s="17" t="inlineStr">
        <is>
          <t>Första touch</t>
        </is>
      </c>
      <c r="L10" s="19" t="n">
        <v>42</v>
      </c>
      <c r="M10" s="19" t="n">
        <v>54</v>
      </c>
      <c r="N10" s="20" t="inlineStr">
        <is>
          <t>Ja</t>
        </is>
      </c>
      <c r="O10" s="19" t="n">
        <v>7</v>
      </c>
      <c r="P10" s="19" t="n">
        <v>14</v>
      </c>
      <c r="Q10" s="17" t="inlineStr">
        <is>
          <t>Alla</t>
        </is>
      </c>
      <c r="R10" s="17" t="inlineStr">
        <is>
          <t>Alla</t>
        </is>
      </c>
      <c r="S10" s="20" t="inlineStr">
        <is>
          <t>x</t>
        </is>
      </c>
      <c r="T10" s="20" t="inlineStr">
        <is>
          <t>x</t>
        </is>
      </c>
      <c r="U10" s="20" t="n"/>
      <c r="V10" s="20" t="n"/>
      <c r="W10" s="20" t="n"/>
      <c r="X10" s="20" t="n"/>
      <c r="Y10" s="17" t="inlineStr">
        <is>
          <t>Mellan (10×10 m)</t>
        </is>
      </c>
      <c r="Z10" s="20" t="n"/>
      <c r="AA10" s="20" t="inlineStr">
        <is>
          <t>x</t>
        </is>
      </c>
      <c r="AB10" s="20" t="inlineStr">
        <is>
          <t>x</t>
        </is>
      </c>
      <c r="AC10" s="17" t="inlineStr">
        <is>
          <t>Alla</t>
        </is>
      </c>
      <c r="AD10" s="18" t="inlineStr">
        <is>
          <t>CAP-passet del 2 Första touch, moment 4</t>
        </is>
      </c>
      <c r="AE10" s="18" t="inlineStr"/>
    </row>
    <row r="11">
      <c r="A11" s="17" t="inlineStr">
        <is>
          <t>pa1</t>
        </is>
      </c>
      <c r="B11" s="18" t="inlineStr">
        <is>
          <t>Stödfoten bredvid bollen</t>
        </is>
      </c>
      <c r="C11" s="18" t="inlineStr">
        <is>
          <t>Ställ stödfoten intill bollen med tårna mot målet. Filmen ringar in den.</t>
        </is>
      </c>
      <c r="D11" s="17" t="inlineStr">
        <is>
          <t>Övning</t>
        </is>
      </c>
      <c r="E11" s="19" t="n">
        <v>2</v>
      </c>
      <c r="F11" s="19" t="n"/>
      <c r="G11" s="17" t="inlineStr">
        <is>
          <t>Huvuddel</t>
        </is>
      </c>
      <c r="H11" s="17" t="inlineStr">
        <is>
          <t>Teknik</t>
        </is>
      </c>
      <c r="I11" s="18" t="inlineStr">
        <is>
          <t>Passning insida</t>
        </is>
      </c>
      <c r="J11" s="17" t="inlineStr">
        <is>
          <t>2 Touchmästare</t>
        </is>
      </c>
      <c r="K11" s="17" t="inlineStr">
        <is>
          <t>Passningar</t>
        </is>
      </c>
      <c r="L11" s="19" t="n">
        <v>27</v>
      </c>
      <c r="M11" s="19" t="n">
        <v>32</v>
      </c>
      <c r="N11" s="20" t="inlineStr">
        <is>
          <t>Ja</t>
        </is>
      </c>
      <c r="O11" s="19" t="n">
        <v>7</v>
      </c>
      <c r="P11" s="19" t="n">
        <v>14</v>
      </c>
      <c r="Q11" s="17" t="inlineStr">
        <is>
          <t>Alla</t>
        </is>
      </c>
      <c r="R11" s="17" t="inlineStr">
        <is>
          <t>Alla</t>
        </is>
      </c>
      <c r="S11" s="20" t="inlineStr">
        <is>
          <t>x</t>
        </is>
      </c>
      <c r="T11" s="20" t="inlineStr">
        <is>
          <t>x</t>
        </is>
      </c>
      <c r="U11" s="20" t="n"/>
      <c r="V11" s="20" t="n"/>
      <c r="W11" s="20" t="n"/>
      <c r="X11" s="20" t="n"/>
      <c r="Y11" s="17" t="inlineStr">
        <is>
          <t>Mellan (10×10 m)</t>
        </is>
      </c>
      <c r="Z11" s="20" t="inlineStr">
        <is>
          <t>x</t>
        </is>
      </c>
      <c r="AA11" s="20" t="inlineStr">
        <is>
          <t>x</t>
        </is>
      </c>
      <c r="AB11" s="20" t="inlineStr">
        <is>
          <t>x</t>
        </is>
      </c>
      <c r="AC11" s="17" t="inlineStr">
        <is>
          <t>Alla</t>
        </is>
      </c>
      <c r="AD11" s="18" t="inlineStr">
        <is>
          <t>CAP-passet del 3 Passningar, moment 1</t>
        </is>
      </c>
      <c r="AE11" s="18" t="inlineStr"/>
    </row>
    <row r="12">
      <c r="A12" s="17" t="inlineStr">
        <is>
          <t>pa2</t>
        </is>
      </c>
      <c r="B12" s="18" t="inlineStr">
        <is>
          <t>Insidespassning i konrutan</t>
        </is>
      </c>
      <c r="C12" s="18" t="inlineStr">
        <is>
          <t>Passa genom konerna till Haris, med både höger och vänster fot. Räkna passningar i rad.</t>
        </is>
      </c>
      <c r="D12" s="17" t="inlineStr">
        <is>
          <t>Övning</t>
        </is>
      </c>
      <c r="E12" s="19" t="n">
        <v>5</v>
      </c>
      <c r="F12" s="19" t="n"/>
      <c r="G12" s="17" t="inlineStr">
        <is>
          <t>Huvuddel</t>
        </is>
      </c>
      <c r="H12" s="17" t="inlineStr">
        <is>
          <t>Teknik</t>
        </is>
      </c>
      <c r="I12" s="18" t="inlineStr">
        <is>
          <t>Passning insida</t>
        </is>
      </c>
      <c r="J12" s="17" t="inlineStr">
        <is>
          <t>2 Touchmästare</t>
        </is>
      </c>
      <c r="K12" s="17" t="inlineStr">
        <is>
          <t>Passningar</t>
        </is>
      </c>
      <c r="L12" s="19" t="n">
        <v>2</v>
      </c>
      <c r="M12" s="19" t="n">
        <v>15</v>
      </c>
      <c r="N12" s="20" t="inlineStr">
        <is>
          <t>Ja</t>
        </is>
      </c>
      <c r="O12" s="19" t="n">
        <v>7</v>
      </c>
      <c r="P12" s="19" t="n">
        <v>14</v>
      </c>
      <c r="Q12" s="17" t="inlineStr">
        <is>
          <t>Alla</t>
        </is>
      </c>
      <c r="R12" s="17" t="inlineStr">
        <is>
          <t>Alla</t>
        </is>
      </c>
      <c r="S12" s="20" t="inlineStr">
        <is>
          <t>x</t>
        </is>
      </c>
      <c r="T12" s="20" t="inlineStr">
        <is>
          <t>x</t>
        </is>
      </c>
      <c r="U12" s="20" t="n"/>
      <c r="V12" s="20" t="n"/>
      <c r="W12" s="20" t="n"/>
      <c r="X12" s="20" t="n"/>
      <c r="Y12" s="17" t="inlineStr">
        <is>
          <t>Mellan (10×10 m)</t>
        </is>
      </c>
      <c r="Z12" s="20" t="n"/>
      <c r="AA12" s="20" t="inlineStr">
        <is>
          <t>x</t>
        </is>
      </c>
      <c r="AB12" s="20" t="inlineStr">
        <is>
          <t>x</t>
        </is>
      </c>
      <c r="AC12" s="17" t="inlineStr">
        <is>
          <t>Alla</t>
        </is>
      </c>
      <c r="AD12" s="18" t="inlineStr">
        <is>
          <t>CAP-passet del 3 Passningar, moment 2</t>
        </is>
      </c>
      <c r="AE12" s="18" t="inlineStr"/>
    </row>
    <row r="13">
      <c r="A13" s="17" t="inlineStr">
        <is>
          <t>pa3</t>
        </is>
      </c>
      <c r="B13" s="18" t="inlineStr">
        <is>
          <t>Ta emot och passa tillbaka</t>
        </is>
      </c>
      <c r="C13" s="18" t="inlineStr">
        <is>
          <t>Ta emot bollen, ett touch, passa tillbaka. Öka tempot när det sitter.</t>
        </is>
      </c>
      <c r="D13" s="17" t="inlineStr">
        <is>
          <t>Övning</t>
        </is>
      </c>
      <c r="E13" s="19" t="n">
        <v>3</v>
      </c>
      <c r="F13" s="19" t="n"/>
      <c r="G13" s="17" t="inlineStr">
        <is>
          <t>Huvuddel</t>
        </is>
      </c>
      <c r="H13" s="17" t="inlineStr">
        <is>
          <t>Teknik</t>
        </is>
      </c>
      <c r="I13" s="18" t="inlineStr">
        <is>
          <t>Passning insida, Första touch</t>
        </is>
      </c>
      <c r="J13" s="17" t="inlineStr">
        <is>
          <t>2 Touchmästare</t>
        </is>
      </c>
      <c r="K13" s="17" t="inlineStr">
        <is>
          <t>Passningar</t>
        </is>
      </c>
      <c r="L13" s="19" t="n">
        <v>16</v>
      </c>
      <c r="M13" s="19" t="n">
        <v>26</v>
      </c>
      <c r="N13" s="20" t="inlineStr">
        <is>
          <t>Ja</t>
        </is>
      </c>
      <c r="O13" s="19" t="n">
        <v>7</v>
      </c>
      <c r="P13" s="19" t="n">
        <v>14</v>
      </c>
      <c r="Q13" s="17" t="inlineStr">
        <is>
          <t>Alla</t>
        </is>
      </c>
      <c r="R13" s="17" t="inlineStr">
        <is>
          <t>Alla</t>
        </is>
      </c>
      <c r="S13" s="20" t="inlineStr">
        <is>
          <t>x</t>
        </is>
      </c>
      <c r="T13" s="20" t="inlineStr">
        <is>
          <t>x</t>
        </is>
      </c>
      <c r="U13" s="20" t="n"/>
      <c r="V13" s="20" t="n"/>
      <c r="W13" s="20" t="n"/>
      <c r="X13" s="20" t="n"/>
      <c r="Y13" s="17" t="inlineStr">
        <is>
          <t>Mellan (10×10 m)</t>
        </is>
      </c>
      <c r="Z13" s="20" t="n"/>
      <c r="AA13" s="20" t="inlineStr">
        <is>
          <t>x</t>
        </is>
      </c>
      <c r="AB13" s="20" t="inlineStr">
        <is>
          <t>x</t>
        </is>
      </c>
      <c r="AC13" s="17" t="inlineStr">
        <is>
          <t>Alla</t>
        </is>
      </c>
      <c r="AD13" s="18" t="inlineStr">
        <is>
          <t>CAP-passet del 3 Passningar, moment 3</t>
        </is>
      </c>
      <c r="AE13" s="18" t="inlineStr"/>
    </row>
    <row r="14">
      <c r="A14" s="17" t="inlineStr">
        <is>
          <t>dr1</t>
        </is>
      </c>
      <c r="B14" s="18" t="inlineStr">
        <is>
          <t>Driv ut till konerna</t>
        </is>
      </c>
      <c r="C14" s="18" t="inlineStr">
        <is>
          <t>Driv i fart till konerna längst bort och tillbaka. Få touch, titta upp.</t>
        </is>
      </c>
      <c r="D14" s="17" t="inlineStr">
        <is>
          <t>Övning</t>
        </is>
      </c>
      <c r="E14" s="19" t="n">
        <v>4</v>
      </c>
      <c r="F14" s="19" t="n"/>
      <c r="G14" s="17" t="inlineStr">
        <is>
          <t>Huvuddel</t>
        </is>
      </c>
      <c r="H14" s="17" t="inlineStr">
        <is>
          <t>Teknik</t>
        </is>
      </c>
      <c r="I14" s="18" t="inlineStr">
        <is>
          <t>Driv</t>
        </is>
      </c>
      <c r="J14" s="17" t="inlineStr">
        <is>
          <t>2 Touchmästare</t>
        </is>
      </c>
      <c r="K14" s="17" t="inlineStr">
        <is>
          <t>Dribblingar</t>
        </is>
      </c>
      <c r="L14" s="19" t="n">
        <v>2</v>
      </c>
      <c r="M14" s="19" t="n">
        <v>12</v>
      </c>
      <c r="N14" s="20" t="inlineStr">
        <is>
          <t>Ja</t>
        </is>
      </c>
      <c r="O14" s="19" t="n">
        <v>7</v>
      </c>
      <c r="P14" s="19" t="n">
        <v>14</v>
      </c>
      <c r="Q14" s="17" t="inlineStr">
        <is>
          <t>Alla</t>
        </is>
      </c>
      <c r="R14" s="17" t="inlineStr">
        <is>
          <t>Alla</t>
        </is>
      </c>
      <c r="S14" s="20" t="inlineStr">
        <is>
          <t>x</t>
        </is>
      </c>
      <c r="T14" s="20" t="inlineStr">
        <is>
          <t>x</t>
        </is>
      </c>
      <c r="U14" s="20" t="n"/>
      <c r="V14" s="20" t="n"/>
      <c r="W14" s="20" t="n"/>
      <c r="X14" s="20" t="n"/>
      <c r="Y14" s="17" t="inlineStr">
        <is>
          <t>Mellan (10×10 m)</t>
        </is>
      </c>
      <c r="Z14" s="20" t="inlineStr">
        <is>
          <t>x</t>
        </is>
      </c>
      <c r="AA14" s="20" t="inlineStr">
        <is>
          <t>x</t>
        </is>
      </c>
      <c r="AB14" s="20" t="n"/>
      <c r="AC14" s="17" t="inlineStr">
        <is>
          <t>Alla</t>
        </is>
      </c>
      <c r="AD14" s="18" t="inlineStr">
        <is>
          <t>CAP-passet del 4 Dribblingar, moment 1</t>
        </is>
      </c>
      <c r="AE14" s="18" t="inlineStr"/>
    </row>
    <row r="15">
      <c r="A15" s="17" t="inlineStr">
        <is>
          <t>dr2</t>
        </is>
      </c>
      <c r="B15" s="18" t="inlineStr">
        <is>
          <t>Riktningsbyten vid konerna</t>
        </is>
      </c>
      <c r="C15" s="18" t="inlineStr">
        <is>
          <t>Byt riktning med insidan eller utsidan vid varje kon. Bollen stannar nära foten.</t>
        </is>
      </c>
      <c r="D15" s="17" t="inlineStr">
        <is>
          <t>Övning</t>
        </is>
      </c>
      <c r="E15" s="19" t="n">
        <v>5</v>
      </c>
      <c r="F15" s="19" t="n"/>
      <c r="G15" s="17" t="inlineStr">
        <is>
          <t>Huvuddel</t>
        </is>
      </c>
      <c r="H15" s="17" t="inlineStr">
        <is>
          <t>Teknik</t>
        </is>
      </c>
      <c r="I15" s="18" t="inlineStr">
        <is>
          <t>Dribbling &amp; finter, Vändningar</t>
        </is>
      </c>
      <c r="J15" s="17" t="inlineStr">
        <is>
          <t>2 Touchmästare</t>
        </is>
      </c>
      <c r="K15" s="17" t="inlineStr">
        <is>
          <t>Dribblingar</t>
        </is>
      </c>
      <c r="L15" s="19" t="n">
        <v>13</v>
      </c>
      <c r="M15" s="19" t="n">
        <v>29</v>
      </c>
      <c r="N15" s="20" t="inlineStr">
        <is>
          <t>Ja</t>
        </is>
      </c>
      <c r="O15" s="19" t="n">
        <v>7</v>
      </c>
      <c r="P15" s="19" t="n">
        <v>14</v>
      </c>
      <c r="Q15" s="17" t="inlineStr">
        <is>
          <t>Alla</t>
        </is>
      </c>
      <c r="R15" s="17" t="inlineStr">
        <is>
          <t>Alla</t>
        </is>
      </c>
      <c r="S15" s="20" t="inlineStr">
        <is>
          <t>x</t>
        </is>
      </c>
      <c r="T15" s="20" t="inlineStr">
        <is>
          <t>x</t>
        </is>
      </c>
      <c r="U15" s="20" t="n"/>
      <c r="V15" s="20" t="n"/>
      <c r="W15" s="20" t="n"/>
      <c r="X15" s="20" t="n"/>
      <c r="Y15" s="17" t="inlineStr">
        <is>
          <t>Mellan (10×10 m)</t>
        </is>
      </c>
      <c r="Z15" s="20" t="inlineStr">
        <is>
          <t>x</t>
        </is>
      </c>
      <c r="AA15" s="20" t="inlineStr">
        <is>
          <t>x</t>
        </is>
      </c>
      <c r="AB15" s="20" t="n"/>
      <c r="AC15" s="17" t="inlineStr">
        <is>
          <t>Alla</t>
        </is>
      </c>
      <c r="AD15" s="18" t="inlineStr">
        <is>
          <t>CAP-passet del 4 Dribblingar, moment 2</t>
        </is>
      </c>
      <c r="AE15" s="18" t="inlineStr"/>
    </row>
    <row r="16">
      <c r="A16" s="17" t="inlineStr">
        <is>
          <t>dr3</t>
        </is>
      </c>
      <c r="B16" s="18" t="inlineStr">
        <is>
          <t>Fint och vändning i fart</t>
        </is>
      </c>
      <c r="C16" s="18" t="inlineStr">
        <is>
          <t>Lägg in en fint före riktningsbytet. Haris visar vid konen.</t>
        </is>
      </c>
      <c r="D16" s="17" t="inlineStr">
        <is>
          <t>Övning</t>
        </is>
      </c>
      <c r="E16" s="19" t="n">
        <v>6</v>
      </c>
      <c r="F16" s="19" t="n"/>
      <c r="G16" s="17" t="inlineStr">
        <is>
          <t>Huvuddel</t>
        </is>
      </c>
      <c r="H16" s="17" t="inlineStr">
        <is>
          <t>Teknik</t>
        </is>
      </c>
      <c r="I16" s="18" t="inlineStr">
        <is>
          <t>Dribbling &amp; finter</t>
        </is>
      </c>
      <c r="J16" s="17" t="inlineStr">
        <is>
          <t>2 Touchmästare</t>
        </is>
      </c>
      <c r="K16" s="17" t="inlineStr">
        <is>
          <t>Dribblingar</t>
        </is>
      </c>
      <c r="L16" s="19" t="n">
        <v>30</v>
      </c>
      <c r="M16" s="19" t="n">
        <v>45</v>
      </c>
      <c r="N16" s="20" t="inlineStr">
        <is>
          <t>Ja</t>
        </is>
      </c>
      <c r="O16" s="19" t="n">
        <v>7</v>
      </c>
      <c r="P16" s="19" t="n">
        <v>14</v>
      </c>
      <c r="Q16" s="17" t="inlineStr">
        <is>
          <t>Alla</t>
        </is>
      </c>
      <c r="R16" s="17" t="inlineStr">
        <is>
          <t>Alla</t>
        </is>
      </c>
      <c r="S16" s="20" t="inlineStr">
        <is>
          <t>x</t>
        </is>
      </c>
      <c r="T16" s="20" t="inlineStr">
        <is>
          <t>x</t>
        </is>
      </c>
      <c r="U16" s="20" t="n"/>
      <c r="V16" s="20" t="n"/>
      <c r="W16" s="20" t="n"/>
      <c r="X16" s="20" t="n"/>
      <c r="Y16" s="17" t="inlineStr">
        <is>
          <t>Mellan (10×10 m)</t>
        </is>
      </c>
      <c r="Z16" s="20" t="inlineStr">
        <is>
          <t>x</t>
        </is>
      </c>
      <c r="AA16" s="20" t="inlineStr">
        <is>
          <t>x</t>
        </is>
      </c>
      <c r="AB16" s="20" t="n"/>
      <c r="AC16" s="17" t="inlineStr">
        <is>
          <t>Alla</t>
        </is>
      </c>
      <c r="AD16" s="18" t="inlineStr">
        <is>
          <t>CAP-passet del 4 Dribblingar, moment 3</t>
        </is>
      </c>
      <c r="AE16" s="18" t="inlineStr"/>
    </row>
    <row r="17">
      <c r="A17" s="17" t="inlineStr">
        <is>
          <t>ko1</t>
        </is>
      </c>
      <c r="B17" s="18" t="inlineStr">
        <is>
          <t>Snabba fötter vid konerna</t>
        </is>
      </c>
      <c r="C17" s="18" t="inlineStr">
        <is>
          <t>Tåtouch och sidosteg över bollen. Lätta fötter, blicken upp.</t>
        </is>
      </c>
      <c r="D17" s="17" t="inlineStr">
        <is>
          <t>Övning</t>
        </is>
      </c>
      <c r="E17" s="19" t="n">
        <v>2</v>
      </c>
      <c r="F17" s="19" t="n"/>
      <c r="G17" s="17" t="inlineStr">
        <is>
          <t>Huvuddel</t>
        </is>
      </c>
      <c r="H17" s="17" t="inlineStr">
        <is>
          <t>Koordination</t>
        </is>
      </c>
      <c r="I17" s="18" t="inlineStr">
        <is>
          <t>Snabba fötter</t>
        </is>
      </c>
      <c r="J17" s="17" t="inlineStr">
        <is>
          <t>3 Dribblare</t>
        </is>
      </c>
      <c r="K17" s="17" t="inlineStr">
        <is>
          <t>Koordination</t>
        </is>
      </c>
      <c r="L17" s="19" t="n">
        <v>2</v>
      </c>
      <c r="M17" s="19" t="n">
        <v>10</v>
      </c>
      <c r="N17" s="20" t="inlineStr">
        <is>
          <t>Ja</t>
        </is>
      </c>
      <c r="O17" s="19" t="n">
        <v>7</v>
      </c>
      <c r="P17" s="19" t="n">
        <v>14</v>
      </c>
      <c r="Q17" s="17" t="inlineStr">
        <is>
          <t>Alla</t>
        </is>
      </c>
      <c r="R17" s="17" t="inlineStr">
        <is>
          <t>Alla</t>
        </is>
      </c>
      <c r="S17" s="20" t="inlineStr">
        <is>
          <t>x</t>
        </is>
      </c>
      <c r="T17" s="20" t="inlineStr">
        <is>
          <t>x</t>
        </is>
      </c>
      <c r="U17" s="20" t="n"/>
      <c r="V17" s="20" t="n"/>
      <c r="W17" s="20" t="n"/>
      <c r="X17" s="20" t="n"/>
      <c r="Y17" s="17" t="inlineStr">
        <is>
          <t>Mellan (10×10 m)</t>
        </is>
      </c>
      <c r="Z17" s="20" t="inlineStr">
        <is>
          <t>x</t>
        </is>
      </c>
      <c r="AA17" s="20" t="inlineStr">
        <is>
          <t>x</t>
        </is>
      </c>
      <c r="AB17" s="20" t="n"/>
      <c r="AC17" s="17" t="inlineStr">
        <is>
          <t>Alla</t>
        </is>
      </c>
      <c r="AD17" s="18" t="inlineStr">
        <is>
          <t>CAP-passet del 5 Koordination, moment 1</t>
        </is>
      </c>
      <c r="AE17" s="18" t="inlineStr"/>
    </row>
    <row r="18">
      <c r="A18" s="17" t="inlineStr">
        <is>
          <t>ko2</t>
        </is>
      </c>
      <c r="B18" s="18" t="inlineStr">
        <is>
          <t>Reagera på bollen</t>
        </is>
      </c>
      <c r="C18" s="18" t="inlineStr">
        <is>
          <t>Haris rullar bollen åt ena eller andra hållet. Reagera och ta den i första touchen.</t>
        </is>
      </c>
      <c r="D18" s="17" t="inlineStr">
        <is>
          <t>Övning</t>
        </is>
      </c>
      <c r="E18" s="19" t="n">
        <v>2</v>
      </c>
      <c r="F18" s="19" t="n"/>
      <c r="G18" s="17" t="inlineStr">
        <is>
          <t>Huvuddel</t>
        </is>
      </c>
      <c r="H18" s="17" t="inlineStr">
        <is>
          <t>Koordination</t>
        </is>
      </c>
      <c r="I18" s="18" t="inlineStr">
        <is>
          <t>Reaktion, Första touch</t>
        </is>
      </c>
      <c r="J18" s="17" t="inlineStr">
        <is>
          <t>3 Dribblare</t>
        </is>
      </c>
      <c r="K18" s="17" t="inlineStr">
        <is>
          <t>Koordination</t>
        </is>
      </c>
      <c r="L18" s="19" t="n">
        <v>11</v>
      </c>
      <c r="M18" s="19" t="n">
        <v>16</v>
      </c>
      <c r="N18" s="20" t="inlineStr">
        <is>
          <t>Ja</t>
        </is>
      </c>
      <c r="O18" s="19" t="n">
        <v>7</v>
      </c>
      <c r="P18" s="19" t="n">
        <v>14</v>
      </c>
      <c r="Q18" s="17" t="inlineStr">
        <is>
          <t>Alla</t>
        </is>
      </c>
      <c r="R18" s="17" t="inlineStr">
        <is>
          <t>Alla</t>
        </is>
      </c>
      <c r="S18" s="20" t="inlineStr">
        <is>
          <t>x</t>
        </is>
      </c>
      <c r="T18" s="20" t="inlineStr">
        <is>
          <t>x</t>
        </is>
      </c>
      <c r="U18" s="20" t="n"/>
      <c r="V18" s="20" t="n"/>
      <c r="W18" s="20" t="n"/>
      <c r="X18" s="20" t="n"/>
      <c r="Y18" s="17" t="inlineStr">
        <is>
          <t>Mellan (10×10 m)</t>
        </is>
      </c>
      <c r="Z18" s="20" t="n"/>
      <c r="AA18" s="20" t="inlineStr">
        <is>
          <t>x</t>
        </is>
      </c>
      <c r="AB18" s="20" t="inlineStr">
        <is>
          <t>x</t>
        </is>
      </c>
      <c r="AC18" s="17" t="inlineStr">
        <is>
          <t>Alla</t>
        </is>
      </c>
      <c r="AD18" s="18" t="inlineStr">
        <is>
          <t>CAP-passet del 5 Koordination, moment 2</t>
        </is>
      </c>
      <c r="AE18" s="18" t="inlineStr"/>
    </row>
    <row r="19">
      <c r="A19" s="17" t="inlineStr">
        <is>
          <t>ko3</t>
        </is>
      </c>
      <c r="B19" s="18" t="inlineStr">
        <is>
          <t>Konraden och tillbaka med boll</t>
        </is>
      </c>
      <c r="C19" s="18" t="inlineStr">
        <is>
          <t>Sidosteg mellan konerna, hämta bollen och driv tillbaka.</t>
        </is>
      </c>
      <c r="D19" s="17" t="inlineStr">
        <is>
          <t>Övning</t>
        </is>
      </c>
      <c r="E19" s="19" t="n">
        <v>3</v>
      </c>
      <c r="F19" s="19" t="n"/>
      <c r="G19" s="17" t="inlineStr">
        <is>
          <t>Huvuddel</t>
        </is>
      </c>
      <c r="H19" s="17" t="inlineStr">
        <is>
          <t>Koordination</t>
        </is>
      </c>
      <c r="I19" s="18" t="inlineStr">
        <is>
          <t>Snabba fötter, Driv</t>
        </is>
      </c>
      <c r="J19" s="17" t="inlineStr">
        <is>
          <t>3 Dribblare</t>
        </is>
      </c>
      <c r="K19" s="17" t="inlineStr">
        <is>
          <t>Koordination</t>
        </is>
      </c>
      <c r="L19" s="19" t="n">
        <v>17</v>
      </c>
      <c r="M19" s="19" t="n">
        <v>31</v>
      </c>
      <c r="N19" s="20" t="inlineStr">
        <is>
          <t>Ja</t>
        </is>
      </c>
      <c r="O19" s="19" t="n">
        <v>7</v>
      </c>
      <c r="P19" s="19" t="n">
        <v>14</v>
      </c>
      <c r="Q19" s="17" t="inlineStr">
        <is>
          <t>Alla</t>
        </is>
      </c>
      <c r="R19" s="17" t="inlineStr">
        <is>
          <t>Alla</t>
        </is>
      </c>
      <c r="S19" s="20" t="inlineStr">
        <is>
          <t>x</t>
        </is>
      </c>
      <c r="T19" s="20" t="inlineStr">
        <is>
          <t>x</t>
        </is>
      </c>
      <c r="U19" s="20" t="n"/>
      <c r="V19" s="20" t="n"/>
      <c r="W19" s="20" t="n"/>
      <c r="X19" s="20" t="n"/>
      <c r="Y19" s="17" t="inlineStr">
        <is>
          <t>Mellan (10×10 m)</t>
        </is>
      </c>
      <c r="Z19" s="20" t="inlineStr">
        <is>
          <t>x</t>
        </is>
      </c>
      <c r="AA19" s="20" t="inlineStr">
        <is>
          <t>x</t>
        </is>
      </c>
      <c r="AB19" s="20" t="n"/>
      <c r="AC19" s="17" t="inlineStr">
        <is>
          <t>Alla</t>
        </is>
      </c>
      <c r="AD19" s="18" t="inlineStr">
        <is>
          <t>CAP-passet del 5 Koordination, moment 3</t>
        </is>
      </c>
      <c r="AE19" s="18" t="inlineStr"/>
    </row>
    <row r="20">
      <c r="A20" s="17" t="inlineStr">
        <is>
          <t>ko4</t>
        </is>
      </c>
      <c r="B20" s="18" t="inlineStr">
        <is>
          <t>Reaktion och passning</t>
        </is>
      </c>
      <c r="C20" s="18" t="inlineStr">
        <is>
          <t>Fotarbete, signal från Haris, och direkt en passning.</t>
        </is>
      </c>
      <c r="D20" s="17" t="inlineStr">
        <is>
          <t>Övning</t>
        </is>
      </c>
      <c r="E20" s="19" t="n">
        <v>2</v>
      </c>
      <c r="F20" s="19" t="n"/>
      <c r="G20" s="17" t="inlineStr">
        <is>
          <t>Huvuddel</t>
        </is>
      </c>
      <c r="H20" s="17" t="inlineStr">
        <is>
          <t>Koordination</t>
        </is>
      </c>
      <c r="I20" s="18" t="inlineStr">
        <is>
          <t>Reaktion, Passning insida</t>
        </is>
      </c>
      <c r="J20" s="17" t="inlineStr">
        <is>
          <t>3 Dribblare</t>
        </is>
      </c>
      <c r="K20" s="17" t="inlineStr">
        <is>
          <t>Koordination</t>
        </is>
      </c>
      <c r="L20" s="19" t="n">
        <v>32</v>
      </c>
      <c r="M20" s="19" t="n">
        <v>45</v>
      </c>
      <c r="N20" s="20" t="inlineStr">
        <is>
          <t>Ja</t>
        </is>
      </c>
      <c r="O20" s="19" t="n">
        <v>7</v>
      </c>
      <c r="P20" s="19" t="n">
        <v>14</v>
      </c>
      <c r="Q20" s="17" t="inlineStr">
        <is>
          <t>Alla</t>
        </is>
      </c>
      <c r="R20" s="17" t="inlineStr">
        <is>
          <t>Alla</t>
        </is>
      </c>
      <c r="S20" s="20" t="inlineStr">
        <is>
          <t>x</t>
        </is>
      </c>
      <c r="T20" s="20" t="inlineStr">
        <is>
          <t>x</t>
        </is>
      </c>
      <c r="U20" s="20" t="n"/>
      <c r="V20" s="20" t="n"/>
      <c r="W20" s="20" t="n"/>
      <c r="X20" s="20" t="n"/>
      <c r="Y20" s="17" t="inlineStr">
        <is>
          <t>Mellan (10×10 m)</t>
        </is>
      </c>
      <c r="Z20" s="20" t="n"/>
      <c r="AA20" s="20" t="inlineStr">
        <is>
          <t>x</t>
        </is>
      </c>
      <c r="AB20" s="20" t="inlineStr">
        <is>
          <t>x</t>
        </is>
      </c>
      <c r="AC20" s="17" t="inlineStr">
        <is>
          <t>Alla</t>
        </is>
      </c>
      <c r="AD20" s="18" t="inlineStr">
        <is>
          <t>CAP-passet del 5 Koordination, moment 4</t>
        </is>
      </c>
      <c r="AE20" s="18" t="inlineStr"/>
    </row>
    <row r="21">
      <c r="A21" s="17" t="inlineStr">
        <is>
          <t>ko5</t>
        </is>
      </c>
      <c r="B21" s="18" t="inlineStr">
        <is>
          <t>Fotarbete över bollen</t>
        </is>
      </c>
      <c r="C21" s="18" t="inlineStr">
        <is>
          <t>Avsluta med snabba fötter över bollen.</t>
        </is>
      </c>
      <c r="D21" s="17" t="inlineStr">
        <is>
          <t>Övning</t>
        </is>
      </c>
      <c r="E21" s="19" t="n">
        <v>1</v>
      </c>
      <c r="F21" s="19" t="n"/>
      <c r="G21" s="17" t="inlineStr">
        <is>
          <t>Huvuddel</t>
        </is>
      </c>
      <c r="H21" s="17" t="inlineStr">
        <is>
          <t>Koordination</t>
        </is>
      </c>
      <c r="I21" s="18" t="inlineStr">
        <is>
          <t>Snabba fötter, Balans</t>
        </is>
      </c>
      <c r="J21" s="17" t="inlineStr">
        <is>
          <t>3 Dribblare</t>
        </is>
      </c>
      <c r="K21" s="17" t="inlineStr">
        <is>
          <t>Koordination</t>
        </is>
      </c>
      <c r="L21" s="19" t="n">
        <v>46</v>
      </c>
      <c r="M21" s="19" t="n">
        <v>54</v>
      </c>
      <c r="N21" s="20" t="inlineStr">
        <is>
          <t>Ja</t>
        </is>
      </c>
      <c r="O21" s="19" t="n">
        <v>7</v>
      </c>
      <c r="P21" s="19" t="n">
        <v>14</v>
      </c>
      <c r="Q21" s="17" t="inlineStr">
        <is>
          <t>Alla</t>
        </is>
      </c>
      <c r="R21" s="17" t="inlineStr">
        <is>
          <t>Alla</t>
        </is>
      </c>
      <c r="S21" s="20" t="inlineStr">
        <is>
          <t>x</t>
        </is>
      </c>
      <c r="T21" s="20" t="inlineStr">
        <is>
          <t>x</t>
        </is>
      </c>
      <c r="U21" s="20" t="n"/>
      <c r="V21" s="20" t="n"/>
      <c r="W21" s="20" t="n"/>
      <c r="X21" s="20" t="n"/>
      <c r="Y21" s="17" t="inlineStr">
        <is>
          <t>Mellan (10×10 m)</t>
        </is>
      </c>
      <c r="Z21" s="20" t="inlineStr">
        <is>
          <t>x</t>
        </is>
      </c>
      <c r="AA21" s="20" t="inlineStr">
        <is>
          <t>x</t>
        </is>
      </c>
      <c r="AB21" s="20" t="n"/>
      <c r="AC21" s="17" t="inlineStr">
        <is>
          <t>Alla</t>
        </is>
      </c>
      <c r="AD21" s="18" t="inlineStr">
        <is>
          <t>CAP-passet del 5 Koordination, moment 5</t>
        </is>
      </c>
      <c r="AE21" s="18" t="inlineStr"/>
    </row>
    <row r="22">
      <c r="A22" s="17" t="inlineStr">
        <is>
          <t>n2-mv-grepp</t>
        </is>
      </c>
      <c r="B22" s="18" t="inlineStr">
        <is>
          <t>Grepp och fotarbete</t>
        </is>
      </c>
      <c r="C22" s="18" t="inlineStr">
        <is>
          <t>Händerna i W, fötterna i rörelse.</t>
        </is>
      </c>
      <c r="D22" s="17" t="inlineStr">
        <is>
          <t>Övning</t>
        </is>
      </c>
      <c r="E22" s="19" t="n"/>
      <c r="F22" s="19" t="n"/>
      <c r="G22" s="17" t="inlineStr">
        <is>
          <t>Huvuddel</t>
        </is>
      </c>
      <c r="H22" s="17" t="inlineStr">
        <is>
          <t>Koordination</t>
        </is>
      </c>
      <c r="I22" s="18" t="inlineStr">
        <is>
          <t>Målvaktsspel</t>
        </is>
      </c>
      <c r="J22" s="17" t="inlineStr">
        <is>
          <t>2 Touchmästare</t>
        </is>
      </c>
      <c r="K22" s="17" t="inlineStr"/>
      <c r="L22" s="19" t="n"/>
      <c r="M22" s="19" t="n"/>
      <c r="N22" s="20" t="inlineStr">
        <is>
          <t>Nej</t>
        </is>
      </c>
      <c r="O22" s="19" t="n">
        <v>7</v>
      </c>
      <c r="P22" s="19" t="n">
        <v>14</v>
      </c>
      <c r="Q22" s="17" t="inlineStr">
        <is>
          <t>Alla</t>
        </is>
      </c>
      <c r="R22" s="17" t="inlineStr">
        <is>
          <t>Målvakt</t>
        </is>
      </c>
      <c r="S22" s="20" t="inlineStr">
        <is>
          <t>x</t>
        </is>
      </c>
      <c r="T22" s="20" t="n"/>
      <c r="U22" s="20" t="n"/>
      <c r="V22" s="20" t="n"/>
      <c r="W22" s="20" t="n"/>
      <c r="X22" s="20" t="n"/>
      <c r="Y22" s="17" t="inlineStr"/>
      <c r="Z22" s="20" t="n"/>
      <c r="AA22" s="20" t="inlineStr">
        <is>
          <t>x</t>
        </is>
      </c>
      <c r="AB22" s="20" t="n"/>
      <c r="AC22" s="17" t="inlineStr">
        <is>
          <t>Alla</t>
        </is>
      </c>
      <c r="AD22" s="18" t="inlineStr">
        <is>
          <t>Utbildningsvägen nivå 2, målvakt + Stigen etapp 2 (e2-mv)</t>
        </is>
      </c>
      <c r="AE22" s="18" t="inlineStr"/>
    </row>
    <row r="23">
      <c r="A23" s="17" t="inlineStr">
        <is>
          <t>n2-back-stallning</t>
        </is>
      </c>
      <c r="B23" s="18" t="inlineStr">
        <is>
          <t>Försvarsställning</t>
        </is>
      </c>
      <c r="C23" s="18" t="inlineStr">
        <is>
          <t>Låg tyngdpunkt, sidledes fötter, rätt avstånd.</t>
        </is>
      </c>
      <c r="D23" s="17" t="inlineStr">
        <is>
          <t>Övning</t>
        </is>
      </c>
      <c r="E23" s="19" t="n"/>
      <c r="F23" s="19" t="n"/>
      <c r="G23" s="17" t="inlineStr">
        <is>
          <t>Huvuddel</t>
        </is>
      </c>
      <c r="H23" s="17" t="inlineStr">
        <is>
          <t>Koordination</t>
        </is>
      </c>
      <c r="I23" s="18" t="inlineStr">
        <is>
          <t>Balans, Spelförståelse</t>
        </is>
      </c>
      <c r="J23" s="17" t="inlineStr">
        <is>
          <t>2 Touchmästare</t>
        </is>
      </c>
      <c r="K23" s="17" t="inlineStr"/>
      <c r="L23" s="19" t="n"/>
      <c r="M23" s="19" t="n"/>
      <c r="N23" s="20" t="inlineStr">
        <is>
          <t>Nej</t>
        </is>
      </c>
      <c r="O23" s="19" t="n">
        <v>7</v>
      </c>
      <c r="P23" s="19" t="n">
        <v>14</v>
      </c>
      <c r="Q23" s="17" t="inlineStr">
        <is>
          <t>Alla</t>
        </is>
      </c>
      <c r="R23" s="17" t="inlineStr">
        <is>
          <t>Back</t>
        </is>
      </c>
      <c r="S23" s="20" t="n"/>
      <c r="T23" s="20" t="inlineStr">
        <is>
          <t>x</t>
        </is>
      </c>
      <c r="U23" s="20" t="n"/>
      <c r="V23" s="20" t="n"/>
      <c r="W23" s="20" t="n"/>
      <c r="X23" s="20" t="n"/>
      <c r="Y23" s="17" t="inlineStr"/>
      <c r="Z23" s="20" t="n"/>
      <c r="AA23" s="20" t="inlineStr">
        <is>
          <t>x</t>
        </is>
      </c>
      <c r="AB23" s="20" t="n"/>
      <c r="AC23" s="17" t="inlineStr">
        <is>
          <t>Alla</t>
        </is>
      </c>
      <c r="AD23" s="18" t="inlineStr">
        <is>
          <t>Utbildningsvägen nivå 2, back + Stigen etapp 2 (e2-back)</t>
        </is>
      </c>
      <c r="AE23" s="18" t="inlineStr"/>
    </row>
    <row r="24">
      <c r="A24" s="17" t="inlineStr">
        <is>
          <t>n2-mitt-vandning</t>
        </is>
      </c>
      <c r="B24" s="18" t="inlineStr">
        <is>
          <t>Vändningar</t>
        </is>
      </c>
      <c r="C24" s="18" t="inlineStr">
        <is>
          <t>Ta emot och vänd i samma rörelse.</t>
        </is>
      </c>
      <c r="D24" s="17" t="inlineStr">
        <is>
          <t>Övning</t>
        </is>
      </c>
      <c r="E24" s="19" t="n"/>
      <c r="F24" s="19" t="n"/>
      <c r="G24" s="17" t="inlineStr">
        <is>
          <t>Huvuddel</t>
        </is>
      </c>
      <c r="H24" s="17" t="inlineStr">
        <is>
          <t>Bollkontroll</t>
        </is>
      </c>
      <c r="I24" s="18" t="inlineStr">
        <is>
          <t>Vändningar, Första touch</t>
        </is>
      </c>
      <c r="J24" s="17" t="inlineStr">
        <is>
          <t>2 Touchmästare</t>
        </is>
      </c>
      <c r="K24" s="17" t="inlineStr"/>
      <c r="L24" s="19" t="n"/>
      <c r="M24" s="19" t="n"/>
      <c r="N24" s="20" t="inlineStr">
        <is>
          <t>Nej</t>
        </is>
      </c>
      <c r="O24" s="19" t="n">
        <v>7</v>
      </c>
      <c r="P24" s="19" t="n">
        <v>14</v>
      </c>
      <c r="Q24" s="17" t="inlineStr">
        <is>
          <t>Alla</t>
        </is>
      </c>
      <c r="R24" s="17" t="inlineStr">
        <is>
          <t>Mittfältare</t>
        </is>
      </c>
      <c r="S24" s="20" t="inlineStr">
        <is>
          <t>x</t>
        </is>
      </c>
      <c r="T24" s="20" t="inlineStr">
        <is>
          <t>x</t>
        </is>
      </c>
      <c r="U24" s="20" t="n"/>
      <c r="V24" s="20" t="n"/>
      <c r="W24" s="20" t="n"/>
      <c r="X24" s="20" t="n"/>
      <c r="Y24" s="17" t="inlineStr"/>
      <c r="Z24" s="20" t="n"/>
      <c r="AA24" s="20" t="inlineStr">
        <is>
          <t>x</t>
        </is>
      </c>
      <c r="AB24" s="20" t="n"/>
      <c r="AC24" s="17" t="inlineStr">
        <is>
          <t>Alla</t>
        </is>
      </c>
      <c r="AD24" s="18" t="inlineStr">
        <is>
          <t>Utbildningsvägen nivå 2, mittfältare + Stigen etapp 2 (e2-mitt)</t>
        </is>
      </c>
      <c r="AE24" s="18" t="inlineStr"/>
    </row>
    <row r="25">
      <c r="A25" s="17" t="inlineStr">
        <is>
          <t>n2-anf-avslut</t>
        </is>
      </c>
      <c r="B25" s="18" t="inlineStr">
        <is>
          <t>Avslut insida</t>
        </is>
      </c>
      <c r="C25" s="18" t="inlineStr">
        <is>
          <t>Placerat lågt i hörnet, från båda sidor.</t>
        </is>
      </c>
      <c r="D25" s="17" t="inlineStr">
        <is>
          <t>Övning</t>
        </is>
      </c>
      <c r="E25" s="19" t="n"/>
      <c r="F25" s="19" t="n"/>
      <c r="G25" s="17" t="inlineStr">
        <is>
          <t>Huvuddel</t>
        </is>
      </c>
      <c r="H25" s="17" t="inlineStr">
        <is>
          <t>Teknik</t>
        </is>
      </c>
      <c r="I25" s="18" t="inlineStr">
        <is>
          <t>Avslut</t>
        </is>
      </c>
      <c r="J25" s="17" t="inlineStr">
        <is>
          <t>2 Touchmästare</t>
        </is>
      </c>
      <c r="K25" s="17" t="inlineStr"/>
      <c r="L25" s="19" t="n"/>
      <c r="M25" s="19" t="n"/>
      <c r="N25" s="20" t="inlineStr">
        <is>
          <t>Nej</t>
        </is>
      </c>
      <c r="O25" s="19" t="n">
        <v>7</v>
      </c>
      <c r="P25" s="19" t="n">
        <v>14</v>
      </c>
      <c r="Q25" s="17" t="inlineStr">
        <is>
          <t>Alla</t>
        </is>
      </c>
      <c r="R25" s="17" t="inlineStr">
        <is>
          <t>Anfallare</t>
        </is>
      </c>
      <c r="S25" s="20" t="inlineStr">
        <is>
          <t>x</t>
        </is>
      </c>
      <c r="T25" s="20" t="n"/>
      <c r="U25" s="20" t="inlineStr">
        <is>
          <t>x</t>
        </is>
      </c>
      <c r="V25" s="20" t="n"/>
      <c r="W25" s="20" t="n"/>
      <c r="X25" s="20" t="n"/>
      <c r="Y25" s="17" t="inlineStr"/>
      <c r="Z25" s="20" t="n"/>
      <c r="AA25" s="20" t="inlineStr">
        <is>
          <t>x</t>
        </is>
      </c>
      <c r="AB25" s="20" t="n"/>
      <c r="AC25" s="17" t="inlineStr">
        <is>
          <t>Alla</t>
        </is>
      </c>
      <c r="AD25" s="18" t="inlineStr">
        <is>
          <t>Utbildningsvägen nivå 2, anfallare + Stigen etapp 2 (e2-anf)</t>
        </is>
      </c>
      <c r="AE25" s="18" t="inlineStr"/>
    </row>
    <row r="26">
      <c r="A26" s="17" t="inlineStr">
        <is>
          <t>n3-finter</t>
        </is>
      </c>
      <c r="B26" s="18" t="inlineStr">
        <is>
          <t>Finter i fart</t>
        </is>
      </c>
      <c r="C26" s="18" t="inlineStr">
        <is>
          <t>Kroppsfint, överstegsfint och sax i fart mot kon.</t>
        </is>
      </c>
      <c r="D26" s="17" t="inlineStr">
        <is>
          <t>Övning</t>
        </is>
      </c>
      <c r="E26" s="19" t="n"/>
      <c r="F26" s="19" t="n"/>
      <c r="G26" s="17" t="inlineStr">
        <is>
          <t>Huvuddel</t>
        </is>
      </c>
      <c r="H26" s="17" t="inlineStr">
        <is>
          <t>Teknik</t>
        </is>
      </c>
      <c r="I26" s="18" t="inlineStr">
        <is>
          <t>Dribbling &amp; finter</t>
        </is>
      </c>
      <c r="J26" s="17" t="inlineStr">
        <is>
          <t>3 Dribblare</t>
        </is>
      </c>
      <c r="K26" s="17" t="inlineStr"/>
      <c r="L26" s="19" t="n"/>
      <c r="M26" s="19" t="n"/>
      <c r="N26" s="20" t="inlineStr">
        <is>
          <t>Nej</t>
        </is>
      </c>
      <c r="O26" s="19" t="n">
        <v>7</v>
      </c>
      <c r="P26" s="19" t="n">
        <v>14</v>
      </c>
      <c r="Q26" s="17" t="inlineStr">
        <is>
          <t>Alla</t>
        </is>
      </c>
      <c r="R26" s="17" t="inlineStr">
        <is>
          <t>Alla</t>
        </is>
      </c>
      <c r="S26" s="20" t="inlineStr">
        <is>
          <t>x</t>
        </is>
      </c>
      <c r="T26" s="20" t="inlineStr">
        <is>
          <t>x</t>
        </is>
      </c>
      <c r="U26" s="20" t="n"/>
      <c r="V26" s="20" t="n"/>
      <c r="W26" s="20" t="n"/>
      <c r="X26" s="20" t="n"/>
      <c r="Y26" s="17" t="inlineStr"/>
      <c r="Z26" s="20" t="inlineStr">
        <is>
          <t>x</t>
        </is>
      </c>
      <c r="AA26" s="20" t="inlineStr">
        <is>
          <t>x</t>
        </is>
      </c>
      <c r="AB26" s="20" t="n"/>
      <c r="AC26" s="17" t="inlineStr">
        <is>
          <t>Alla</t>
        </is>
      </c>
      <c r="AD26" s="18" t="inlineStr">
        <is>
          <t>Utbildningsvägen nivå 3 + Stigen etapp 3 (e3-finter)</t>
        </is>
      </c>
      <c r="AE26" s="18" t="inlineStr"/>
    </row>
    <row r="27">
      <c r="A27" s="17" t="inlineStr">
        <is>
          <t>n3-jonglering</t>
        </is>
      </c>
      <c r="B27" s="18" t="inlineStr">
        <is>
          <t>Jonglering 20</t>
        </is>
      </c>
      <c r="C27" s="18" t="inlineStr">
        <is>
          <t>Fot, lår och båda fötterna. Målet är tjugo i rad.</t>
        </is>
      </c>
      <c r="D27" s="17" t="inlineStr">
        <is>
          <t>Övning</t>
        </is>
      </c>
      <c r="E27" s="19" t="n"/>
      <c r="F27" s="19" t="n"/>
      <c r="G27" s="17" t="inlineStr">
        <is>
          <t>Huvuddel</t>
        </is>
      </c>
      <c r="H27" s="17" t="inlineStr">
        <is>
          <t>Bollkontroll</t>
        </is>
      </c>
      <c r="I27" s="18" t="inlineStr">
        <is>
          <t>Jonglering &amp; bollkänsla</t>
        </is>
      </c>
      <c r="J27" s="17" t="inlineStr">
        <is>
          <t>3 Dribblare</t>
        </is>
      </c>
      <c r="K27" s="17" t="inlineStr"/>
      <c r="L27" s="19" t="n"/>
      <c r="M27" s="19" t="n"/>
      <c r="N27" s="20" t="inlineStr">
        <is>
          <t>Nej</t>
        </is>
      </c>
      <c r="O27" s="19" t="n">
        <v>7</v>
      </c>
      <c r="P27" s="19" t="n">
        <v>14</v>
      </c>
      <c r="Q27" s="17" t="inlineStr">
        <is>
          <t>Alla</t>
        </is>
      </c>
      <c r="R27" s="17" t="inlineStr">
        <is>
          <t>Alla</t>
        </is>
      </c>
      <c r="S27" s="20" t="inlineStr">
        <is>
          <t>x</t>
        </is>
      </c>
      <c r="T27" s="20" t="n"/>
      <c r="U27" s="20" t="n"/>
      <c r="V27" s="20" t="n"/>
      <c r="W27" s="20" t="n"/>
      <c r="X27" s="20" t="n"/>
      <c r="Y27" s="17" t="inlineStr">
        <is>
          <t>Liten (5×5 m)</t>
        </is>
      </c>
      <c r="Z27" s="20" t="inlineStr">
        <is>
          <t>x</t>
        </is>
      </c>
      <c r="AA27" s="20" t="n"/>
      <c r="AB27" s="20" t="n"/>
      <c r="AC27" s="17" t="inlineStr">
        <is>
          <t>Alla</t>
        </is>
      </c>
      <c r="AD27" s="18" t="inlineStr">
        <is>
          <t>Utbildningsvägen nivå 3</t>
        </is>
      </c>
      <c r="AE27" s="18" t="inlineStr"/>
    </row>
    <row r="28">
      <c r="A28" s="17" t="inlineStr">
        <is>
          <t>n3-avslut</t>
        </is>
      </c>
      <c r="B28" s="18" t="inlineStr">
        <is>
          <t>Avslut från kanten av straffområdet</t>
        </is>
      </c>
      <c r="C28" s="18" t="inlineStr">
        <is>
          <t>Vrist och bredsida, efter en touch.</t>
        </is>
      </c>
      <c r="D28" s="17" t="inlineStr">
        <is>
          <t>Övning</t>
        </is>
      </c>
      <c r="E28" s="19" t="n"/>
      <c r="F28" s="19" t="n"/>
      <c r="G28" s="17" t="inlineStr">
        <is>
          <t>Huvuddel</t>
        </is>
      </c>
      <c r="H28" s="17" t="inlineStr">
        <is>
          <t>Teknik</t>
        </is>
      </c>
      <c r="I28" s="18" t="inlineStr">
        <is>
          <t>Avslut</t>
        </is>
      </c>
      <c r="J28" s="17" t="inlineStr">
        <is>
          <t>3 Dribblare</t>
        </is>
      </c>
      <c r="K28" s="17" t="inlineStr"/>
      <c r="L28" s="19" t="n"/>
      <c r="M28" s="19" t="n"/>
      <c r="N28" s="20" t="inlineStr">
        <is>
          <t>Nej</t>
        </is>
      </c>
      <c r="O28" s="19" t="n">
        <v>7</v>
      </c>
      <c r="P28" s="19" t="n">
        <v>14</v>
      </c>
      <c r="Q28" s="17" t="inlineStr">
        <is>
          <t>Alla</t>
        </is>
      </c>
      <c r="R28" s="17" t="inlineStr">
        <is>
          <t>Alla</t>
        </is>
      </c>
      <c r="S28" s="20" t="inlineStr">
        <is>
          <t>x</t>
        </is>
      </c>
      <c r="T28" s="20" t="n"/>
      <c r="U28" s="20" t="inlineStr">
        <is>
          <t>x</t>
        </is>
      </c>
      <c r="V28" s="20" t="n"/>
      <c r="W28" s="20" t="n"/>
      <c r="X28" s="20" t="n"/>
      <c r="Y28" s="17" t="inlineStr"/>
      <c r="Z28" s="20" t="n"/>
      <c r="AA28" s="20" t="inlineStr">
        <is>
          <t>x</t>
        </is>
      </c>
      <c r="AB28" s="20" t="n"/>
      <c r="AC28" s="17" t="inlineStr">
        <is>
          <t>Alla</t>
        </is>
      </c>
      <c r="AD28" s="18" t="inlineStr">
        <is>
          <t>Utbildningsvägen nivå 3</t>
        </is>
      </c>
      <c r="AE28" s="18" t="inlineStr"/>
    </row>
    <row r="29">
      <c r="A29" s="17" t="inlineStr">
        <is>
          <t>n3-mv-fall</t>
        </is>
      </c>
      <c r="B29" s="18" t="inlineStr">
        <is>
          <t>Fallteknik</t>
        </is>
      </c>
      <c r="C29" s="18" t="inlineStr">
        <is>
          <t>Falla mjukt åt båda hållen och komma upp snabbt.</t>
        </is>
      </c>
      <c r="D29" s="17" t="inlineStr">
        <is>
          <t>Övning</t>
        </is>
      </c>
      <c r="E29" s="19" t="n"/>
      <c r="F29" s="19" t="n"/>
      <c r="G29" s="17" t="inlineStr">
        <is>
          <t>Huvuddel</t>
        </is>
      </c>
      <c r="H29" s="17" t="inlineStr">
        <is>
          <t>Koordination</t>
        </is>
      </c>
      <c r="I29" s="18" t="inlineStr">
        <is>
          <t>Målvaktsspel</t>
        </is>
      </c>
      <c r="J29" s="17" t="inlineStr">
        <is>
          <t>3 Dribblare</t>
        </is>
      </c>
      <c r="K29" s="17" t="inlineStr"/>
      <c r="L29" s="19" t="n"/>
      <c r="M29" s="19" t="n"/>
      <c r="N29" s="20" t="inlineStr">
        <is>
          <t>Nej</t>
        </is>
      </c>
      <c r="O29" s="19" t="n">
        <v>7</v>
      </c>
      <c r="P29" s="19" t="n">
        <v>14</v>
      </c>
      <c r="Q29" s="17" t="inlineStr">
        <is>
          <t>Alla</t>
        </is>
      </c>
      <c r="R29" s="17" t="inlineStr">
        <is>
          <t>Målvakt</t>
        </is>
      </c>
      <c r="S29" s="20" t="inlineStr">
        <is>
          <t>x</t>
        </is>
      </c>
      <c r="T29" s="20" t="n"/>
      <c r="U29" s="20" t="n"/>
      <c r="V29" s="20" t="n"/>
      <c r="W29" s="20" t="n"/>
      <c r="X29" s="20" t="n"/>
      <c r="Y29" s="17" t="inlineStr"/>
      <c r="Z29" s="20" t="n"/>
      <c r="AA29" s="20" t="inlineStr">
        <is>
          <t>x</t>
        </is>
      </c>
      <c r="AB29" s="20" t="n"/>
      <c r="AC29" s="17" t="inlineStr">
        <is>
          <t>Alla</t>
        </is>
      </c>
      <c r="AD29" s="18" t="inlineStr">
        <is>
          <t>Utbildningsvägen nivå 3, målvakt + Stigen etapp 3 (e3-mv)</t>
        </is>
      </c>
      <c r="AE29" s="18" t="inlineStr"/>
    </row>
    <row r="30">
      <c r="A30" s="17" t="inlineStr">
        <is>
          <t>n3-mv-fotter</t>
        </is>
      </c>
      <c r="B30" s="18" t="inlineStr">
        <is>
          <t>Spel med fötterna</t>
        </is>
      </c>
      <c r="C30" s="18" t="inlineStr">
        <is>
          <t>Första touch och passning under press, som målvakt.</t>
        </is>
      </c>
      <c r="D30" s="17" t="inlineStr">
        <is>
          <t>Övning</t>
        </is>
      </c>
      <c r="E30" s="19" t="n"/>
      <c r="F30" s="19" t="n"/>
      <c r="G30" s="17" t="inlineStr">
        <is>
          <t>Huvuddel</t>
        </is>
      </c>
      <c r="H30" s="17" t="inlineStr">
        <is>
          <t>Bollkontroll</t>
        </is>
      </c>
      <c r="I30" s="18" t="inlineStr">
        <is>
          <t>Målvaktsspel, Första touch</t>
        </is>
      </c>
      <c r="J30" s="17" t="inlineStr">
        <is>
          <t>3 Dribblare</t>
        </is>
      </c>
      <c r="K30" s="17" t="inlineStr"/>
      <c r="L30" s="19" t="n"/>
      <c r="M30" s="19" t="n"/>
      <c r="N30" s="20" t="inlineStr">
        <is>
          <t>Nej</t>
        </is>
      </c>
      <c r="O30" s="19" t="n">
        <v>7</v>
      </c>
      <c r="P30" s="19" t="n">
        <v>14</v>
      </c>
      <c r="Q30" s="17" t="inlineStr">
        <is>
          <t>Alla</t>
        </is>
      </c>
      <c r="R30" s="17" t="inlineStr">
        <is>
          <t>Målvakt</t>
        </is>
      </c>
      <c r="S30" s="20" t="inlineStr">
        <is>
          <t>x</t>
        </is>
      </c>
      <c r="T30" s="20" t="n"/>
      <c r="U30" s="20" t="n"/>
      <c r="V30" s="20" t="n"/>
      <c r="W30" s="20" t="n"/>
      <c r="X30" s="20" t="n"/>
      <c r="Y30" s="17" t="inlineStr"/>
      <c r="Z30" s="20" t="n"/>
      <c r="AA30" s="20" t="inlineStr">
        <is>
          <t>x</t>
        </is>
      </c>
      <c r="AB30" s="20" t="n"/>
      <c r="AC30" s="17" t="inlineStr">
        <is>
          <t>Alla</t>
        </is>
      </c>
      <c r="AD30" s="18" t="inlineStr">
        <is>
          <t>Utbildningsvägen nivå 3, målvakt</t>
        </is>
      </c>
      <c r="AE30" s="18" t="inlineStr"/>
    </row>
    <row r="31">
      <c r="A31" s="17" t="inlineStr">
        <is>
          <t>n3-back-nick</t>
        </is>
      </c>
      <c r="B31" s="18" t="inlineStr">
        <is>
          <t>Nickar</t>
        </is>
      </c>
      <c r="C31" s="18" t="inlineStr">
        <is>
          <t>Pannan, ögonen öppna, nicka bort och nicka till en lagkamrat.</t>
        </is>
      </c>
      <c r="D31" s="17" t="inlineStr">
        <is>
          <t>Övning</t>
        </is>
      </c>
      <c r="E31" s="19" t="n"/>
      <c r="F31" s="19" t="n"/>
      <c r="G31" s="17" t="inlineStr">
        <is>
          <t>Huvuddel</t>
        </is>
      </c>
      <c r="H31" s="17" t="inlineStr">
        <is>
          <t>Koordination</t>
        </is>
      </c>
      <c r="I31" s="18" t="inlineStr">
        <is>
          <t>Nickar</t>
        </is>
      </c>
      <c r="J31" s="17" t="inlineStr">
        <is>
          <t>3 Dribblare</t>
        </is>
      </c>
      <c r="K31" s="17" t="inlineStr"/>
      <c r="L31" s="19" t="n"/>
      <c r="M31" s="19" t="n"/>
      <c r="N31" s="20" t="inlineStr">
        <is>
          <t>Nej</t>
        </is>
      </c>
      <c r="O31" s="19" t="n">
        <v>7</v>
      </c>
      <c r="P31" s="19" t="n">
        <v>14</v>
      </c>
      <c r="Q31" s="17" t="inlineStr">
        <is>
          <t>Alla</t>
        </is>
      </c>
      <c r="R31" s="17" t="inlineStr">
        <is>
          <t>Back</t>
        </is>
      </c>
      <c r="S31" s="20" t="inlineStr">
        <is>
          <t>x</t>
        </is>
      </c>
      <c r="T31" s="20" t="n"/>
      <c r="U31" s="20" t="n"/>
      <c r="V31" s="20" t="n"/>
      <c r="W31" s="20" t="n"/>
      <c r="X31" s="20" t="n"/>
      <c r="Y31" s="17" t="inlineStr"/>
      <c r="Z31" s="20" t="n"/>
      <c r="AA31" s="20" t="inlineStr">
        <is>
          <t>x</t>
        </is>
      </c>
      <c r="AB31" s="20" t="n"/>
      <c r="AC31" s="17" t="inlineStr">
        <is>
          <t>Alla</t>
        </is>
      </c>
      <c r="AD31" s="18" t="inlineStr">
        <is>
          <t>Utbildningsvägen nivå 3, back + Stigen etapp 3 (e3-back)</t>
        </is>
      </c>
      <c r="AE31" s="18" t="inlineStr"/>
    </row>
    <row r="32">
      <c r="A32" s="17" t="inlineStr">
        <is>
          <t>n3-mitt-axel</t>
        </is>
      </c>
      <c r="B32" s="18" t="inlineStr">
        <is>
          <t>Titta över axeln innan bollen</t>
        </is>
      </c>
      <c r="C32" s="18" t="inlineStr">
        <is>
          <t>Mottagning med motståndare i ryggen.</t>
        </is>
      </c>
      <c r="D32" s="17" t="inlineStr">
        <is>
          <t>Övning</t>
        </is>
      </c>
      <c r="E32" s="19" t="n"/>
      <c r="F32" s="19" t="n"/>
      <c r="G32" s="17" t="inlineStr">
        <is>
          <t>Huvuddel</t>
        </is>
      </c>
      <c r="H32" s="17" t="inlineStr">
        <is>
          <t>Bollkontroll</t>
        </is>
      </c>
      <c r="I32" s="18" t="inlineStr">
        <is>
          <t>Första touch, Spelförståelse</t>
        </is>
      </c>
      <c r="J32" s="17" t="inlineStr">
        <is>
          <t>3 Dribblare</t>
        </is>
      </c>
      <c r="K32" s="17" t="inlineStr"/>
      <c r="L32" s="19" t="n"/>
      <c r="M32" s="19" t="n"/>
      <c r="N32" s="20" t="inlineStr">
        <is>
          <t>Nej</t>
        </is>
      </c>
      <c r="O32" s="19" t="n">
        <v>7</v>
      </c>
      <c r="P32" s="19" t="n">
        <v>14</v>
      </c>
      <c r="Q32" s="17" t="inlineStr">
        <is>
          <t>Alla</t>
        </is>
      </c>
      <c r="R32" s="17" t="inlineStr">
        <is>
          <t>Mittfältare</t>
        </is>
      </c>
      <c r="S32" s="20" t="inlineStr">
        <is>
          <t>x</t>
        </is>
      </c>
      <c r="T32" s="20" t="n"/>
      <c r="U32" s="20" t="n"/>
      <c r="V32" s="20" t="n"/>
      <c r="W32" s="20" t="n"/>
      <c r="X32" s="20" t="n"/>
      <c r="Y32" s="17" t="inlineStr"/>
      <c r="Z32" s="20" t="n"/>
      <c r="AA32" s="20" t="inlineStr">
        <is>
          <t>x</t>
        </is>
      </c>
      <c r="AB32" s="20" t="inlineStr">
        <is>
          <t>x</t>
        </is>
      </c>
      <c r="AC32" s="17" t="inlineStr">
        <is>
          <t>Alla</t>
        </is>
      </c>
      <c r="AD32" s="18" t="inlineStr">
        <is>
          <t>Utbildningsvägen nivå 3, mittfältare + Stigen etapp 3 (e3-mitt)</t>
        </is>
      </c>
      <c r="AE32" s="18" t="inlineStr"/>
    </row>
    <row r="33">
      <c r="A33" s="17" t="inlineStr">
        <is>
          <t>n3-mitt-framat</t>
        </is>
      </c>
      <c r="B33" s="18" t="inlineStr">
        <is>
          <t>Första touch framåt</t>
        </is>
      </c>
      <c r="C33" s="18" t="inlineStr">
        <is>
          <t>Ta bollen förbi motståndaren i första touchen.</t>
        </is>
      </c>
      <c r="D33" s="17" t="inlineStr">
        <is>
          <t>Övning</t>
        </is>
      </c>
      <c r="E33" s="19" t="n"/>
      <c r="F33" s="19" t="n"/>
      <c r="G33" s="17" t="inlineStr">
        <is>
          <t>Huvuddel</t>
        </is>
      </c>
      <c r="H33" s="17" t="inlineStr">
        <is>
          <t>Bollkontroll</t>
        </is>
      </c>
      <c r="I33" s="18" t="inlineStr">
        <is>
          <t>Första touch, Driv</t>
        </is>
      </c>
      <c r="J33" s="17" t="inlineStr">
        <is>
          <t>3 Dribblare</t>
        </is>
      </c>
      <c r="K33" s="17" t="inlineStr"/>
      <c r="L33" s="19" t="n"/>
      <c r="M33" s="19" t="n"/>
      <c r="N33" s="20" t="inlineStr">
        <is>
          <t>Nej</t>
        </is>
      </c>
      <c r="O33" s="19" t="n">
        <v>7</v>
      </c>
      <c r="P33" s="19" t="n">
        <v>14</v>
      </c>
      <c r="Q33" s="17" t="inlineStr">
        <is>
          <t>Alla</t>
        </is>
      </c>
      <c r="R33" s="17" t="inlineStr">
        <is>
          <t>Mittfältare</t>
        </is>
      </c>
      <c r="S33" s="20" t="inlineStr">
        <is>
          <t>x</t>
        </is>
      </c>
      <c r="T33" s="20" t="inlineStr">
        <is>
          <t>x</t>
        </is>
      </c>
      <c r="U33" s="20" t="n"/>
      <c r="V33" s="20" t="n"/>
      <c r="W33" s="20" t="n"/>
      <c r="X33" s="20" t="n"/>
      <c r="Y33" s="17" t="inlineStr"/>
      <c r="Z33" s="20" t="n"/>
      <c r="AA33" s="20" t="inlineStr">
        <is>
          <t>x</t>
        </is>
      </c>
      <c r="AB33" s="20" t="n"/>
      <c r="AC33" s="17" t="inlineStr">
        <is>
          <t>Alla</t>
        </is>
      </c>
      <c r="AD33" s="18" t="inlineStr">
        <is>
          <t>Utbildningsvägen nivå 3, mittfältare</t>
        </is>
      </c>
      <c r="AE33" s="18" t="inlineStr"/>
    </row>
    <row r="34">
      <c r="A34" s="17" t="inlineStr">
        <is>
          <t>n3-anf-touch</t>
        </is>
      </c>
      <c r="B34" s="18" t="inlineStr">
        <is>
          <t>Första touch mot mål</t>
        </is>
      </c>
      <c r="C34" s="18" t="inlineStr">
        <is>
          <t>Ta emot så att skottet kommer direkt efter.</t>
        </is>
      </c>
      <c r="D34" s="17" t="inlineStr">
        <is>
          <t>Övning</t>
        </is>
      </c>
      <c r="E34" s="19" t="n"/>
      <c r="F34" s="19" t="n"/>
      <c r="G34" s="17" t="inlineStr">
        <is>
          <t>Huvuddel</t>
        </is>
      </c>
      <c r="H34" s="17" t="inlineStr">
        <is>
          <t>Bollkontroll</t>
        </is>
      </c>
      <c r="I34" s="18" t="inlineStr">
        <is>
          <t>Första touch, Avslut</t>
        </is>
      </c>
      <c r="J34" s="17" t="inlineStr">
        <is>
          <t>3 Dribblare</t>
        </is>
      </c>
      <c r="K34" s="17" t="inlineStr"/>
      <c r="L34" s="19" t="n"/>
      <c r="M34" s="19" t="n"/>
      <c r="N34" s="20" t="inlineStr">
        <is>
          <t>Nej</t>
        </is>
      </c>
      <c r="O34" s="19" t="n">
        <v>7</v>
      </c>
      <c r="P34" s="19" t="n">
        <v>14</v>
      </c>
      <c r="Q34" s="17" t="inlineStr">
        <is>
          <t>Alla</t>
        </is>
      </c>
      <c r="R34" s="17" t="inlineStr">
        <is>
          <t>Anfallare</t>
        </is>
      </c>
      <c r="S34" s="20" t="inlineStr">
        <is>
          <t>x</t>
        </is>
      </c>
      <c r="T34" s="20" t="n"/>
      <c r="U34" s="20" t="inlineStr">
        <is>
          <t>x</t>
        </is>
      </c>
      <c r="V34" s="20" t="n"/>
      <c r="W34" s="20" t="n"/>
      <c r="X34" s="20" t="n"/>
      <c r="Y34" s="17" t="inlineStr"/>
      <c r="Z34" s="20" t="n"/>
      <c r="AA34" s="20" t="inlineStr">
        <is>
          <t>x</t>
        </is>
      </c>
      <c r="AB34" s="20" t="n"/>
      <c r="AC34" s="17" t="inlineStr">
        <is>
          <t>Alla</t>
        </is>
      </c>
      <c r="AD34" s="18" t="inlineStr">
        <is>
          <t>Utbildningsvägen nivå 3, anfallare + Stigen etapp 3 (e3-anf)</t>
        </is>
      </c>
      <c r="AE34" s="18" t="inlineStr"/>
    </row>
    <row r="35">
      <c r="A35" s="17" t="inlineStr">
        <is>
          <t>n3-anf-vrist</t>
        </is>
      </c>
      <c r="B35" s="18" t="inlineStr">
        <is>
          <t>Avslut bredsida och vrist</t>
        </is>
      </c>
      <c r="C35" s="18" t="inlineStr">
        <is>
          <t>Hårt och lågt, efter mottagning.</t>
        </is>
      </c>
      <c r="D35" s="17" t="inlineStr">
        <is>
          <t>Övning</t>
        </is>
      </c>
      <c r="E35" s="19" t="n"/>
      <c r="F35" s="19" t="n"/>
      <c r="G35" s="17" t="inlineStr">
        <is>
          <t>Huvuddel</t>
        </is>
      </c>
      <c r="H35" s="17" t="inlineStr">
        <is>
          <t>Teknik</t>
        </is>
      </c>
      <c r="I35" s="18" t="inlineStr">
        <is>
          <t>Avslut</t>
        </is>
      </c>
      <c r="J35" s="17" t="inlineStr">
        <is>
          <t>3 Dribblare</t>
        </is>
      </c>
      <c r="K35" s="17" t="inlineStr"/>
      <c r="L35" s="19" t="n"/>
      <c r="M35" s="19" t="n"/>
      <c r="N35" s="20" t="inlineStr">
        <is>
          <t>Nej</t>
        </is>
      </c>
      <c r="O35" s="19" t="n">
        <v>7</v>
      </c>
      <c r="P35" s="19" t="n">
        <v>14</v>
      </c>
      <c r="Q35" s="17" t="inlineStr">
        <is>
          <t>Alla</t>
        </is>
      </c>
      <c r="R35" s="17" t="inlineStr">
        <is>
          <t>Anfallare</t>
        </is>
      </c>
      <c r="S35" s="20" t="inlineStr">
        <is>
          <t>x</t>
        </is>
      </c>
      <c r="T35" s="20" t="n"/>
      <c r="U35" s="20" t="inlineStr">
        <is>
          <t>x</t>
        </is>
      </c>
      <c r="V35" s="20" t="n"/>
      <c r="W35" s="20" t="n"/>
      <c r="X35" s="20" t="n"/>
      <c r="Y35" s="17" t="inlineStr"/>
      <c r="Z35" s="20" t="n"/>
      <c r="AA35" s="20" t="inlineStr">
        <is>
          <t>x</t>
        </is>
      </c>
      <c r="AB35" s="20" t="n"/>
      <c r="AC35" s="17" t="inlineStr">
        <is>
          <t>Alla</t>
        </is>
      </c>
      <c r="AD35" s="18" t="inlineStr">
        <is>
          <t>Utbildningsvägen nivå 3, anfallare</t>
        </is>
      </c>
      <c r="AE35" s="18" t="inlineStr"/>
    </row>
    <row r="36">
      <c r="A36" s="17" t="inlineStr">
        <is>
          <t>n4-press</t>
        </is>
      </c>
      <c r="B36" s="18" t="inlineStr">
        <is>
          <t>Första touch under press</t>
        </is>
      </c>
      <c r="C36" s="18" t="inlineStr">
        <is>
          <t>Mottagning med en aktiv motståndare.</t>
        </is>
      </c>
      <c r="D36" s="17" t="inlineStr">
        <is>
          <t>Övning</t>
        </is>
      </c>
      <c r="E36" s="19" t="n"/>
      <c r="F36" s="19" t="n"/>
      <c r="G36" s="17" t="inlineStr">
        <is>
          <t>Huvuddel</t>
        </is>
      </c>
      <c r="H36" s="17" t="inlineStr">
        <is>
          <t>Bollkontroll</t>
        </is>
      </c>
      <c r="I36" s="18" t="inlineStr">
        <is>
          <t>Första touch</t>
        </is>
      </c>
      <c r="J36" s="17" t="inlineStr">
        <is>
          <t>4 Spelmotor</t>
        </is>
      </c>
      <c r="K36" s="17" t="inlineStr"/>
      <c r="L36" s="19" t="n"/>
      <c r="M36" s="19" t="n"/>
      <c r="N36" s="20" t="inlineStr">
        <is>
          <t>Nej</t>
        </is>
      </c>
      <c r="O36" s="19" t="n">
        <v>7</v>
      </c>
      <c r="P36" s="19" t="n">
        <v>14</v>
      </c>
      <c r="Q36" s="17" t="inlineStr">
        <is>
          <t>Alla</t>
        </is>
      </c>
      <c r="R36" s="17" t="inlineStr">
        <is>
          <t>Alla</t>
        </is>
      </c>
      <c r="S36" s="20" t="inlineStr">
        <is>
          <t>x</t>
        </is>
      </c>
      <c r="T36" s="20" t="n"/>
      <c r="U36" s="20" t="n"/>
      <c r="V36" s="20" t="n"/>
      <c r="W36" s="20" t="n"/>
      <c r="X36" s="20" t="n"/>
      <c r="Y36" s="17" t="inlineStr"/>
      <c r="Z36" s="20" t="n"/>
      <c r="AA36" s="20" t="inlineStr">
        <is>
          <t>x</t>
        </is>
      </c>
      <c r="AB36" s="20" t="inlineStr">
        <is>
          <t>x</t>
        </is>
      </c>
      <c r="AC36" s="17" t="inlineStr">
        <is>
          <t>Alla</t>
        </is>
      </c>
      <c r="AD36" s="18" t="inlineStr">
        <is>
          <t>Utbildningsvägen nivå 4 + Stigen etapp 4 (e4-press)</t>
        </is>
      </c>
      <c r="AE36" s="18" t="inlineStr"/>
    </row>
    <row r="37">
      <c r="A37" s="17" t="inlineStr">
        <is>
          <t>n4-langa</t>
        </is>
      </c>
      <c r="B37" s="18" t="inlineStr">
        <is>
          <t>Långa tillslag</t>
        </is>
      </c>
      <c r="C37" s="18" t="inlineStr">
        <is>
          <t>Vristen, lyftet och crossbollen.</t>
        </is>
      </c>
      <c r="D37" s="17" t="inlineStr">
        <is>
          <t>Övning</t>
        </is>
      </c>
      <c r="E37" s="19" t="n"/>
      <c r="F37" s="19" t="n"/>
      <c r="G37" s="17" t="inlineStr">
        <is>
          <t>Huvuddel</t>
        </is>
      </c>
      <c r="H37" s="17" t="inlineStr">
        <is>
          <t>Teknik</t>
        </is>
      </c>
      <c r="I37" s="18" t="inlineStr">
        <is>
          <t>Långa tillslag</t>
        </is>
      </c>
      <c r="J37" s="17" t="inlineStr">
        <is>
          <t>4 Spelmotor</t>
        </is>
      </c>
      <c r="K37" s="17" t="inlineStr"/>
      <c r="L37" s="19" t="n"/>
      <c r="M37" s="19" t="n"/>
      <c r="N37" s="20" t="inlineStr">
        <is>
          <t>Nej</t>
        </is>
      </c>
      <c r="O37" s="19" t="n">
        <v>7</v>
      </c>
      <c r="P37" s="19" t="n">
        <v>14</v>
      </c>
      <c r="Q37" s="17" t="inlineStr">
        <is>
          <t>Alla</t>
        </is>
      </c>
      <c r="R37" s="17" t="inlineStr">
        <is>
          <t>Alla</t>
        </is>
      </c>
      <c r="S37" s="20" t="inlineStr">
        <is>
          <t>x</t>
        </is>
      </c>
      <c r="T37" s="20" t="n"/>
      <c r="U37" s="20" t="n"/>
      <c r="V37" s="20" t="n"/>
      <c r="W37" s="20" t="n"/>
      <c r="X37" s="20" t="n"/>
      <c r="Y37" s="17" t="inlineStr"/>
      <c r="Z37" s="20" t="n"/>
      <c r="AA37" s="20" t="inlineStr">
        <is>
          <t>x</t>
        </is>
      </c>
      <c r="AB37" s="20" t="inlineStr">
        <is>
          <t>x</t>
        </is>
      </c>
      <c r="AC37" s="17" t="inlineStr">
        <is>
          <t>Alla</t>
        </is>
      </c>
      <c r="AD37" s="18" t="inlineStr">
        <is>
          <t>Utbildningsvägen nivå 4 + Stigen etapp 4 (e4-langa)</t>
        </is>
      </c>
      <c r="AE37" s="18" t="inlineStr"/>
    </row>
    <row r="38">
      <c r="A38" s="17" t="inlineStr">
        <is>
          <t>n4-back-inlagg</t>
        </is>
      </c>
      <c r="B38" s="18" t="inlineStr">
        <is>
          <t>Inlägg från kanten</t>
        </is>
      </c>
      <c r="C38" s="18" t="inlineStr">
        <is>
          <t>Slå inlägget i fart, mot första och bortre stolpen.</t>
        </is>
      </c>
      <c r="D38" s="17" t="inlineStr">
        <is>
          <t>Övning</t>
        </is>
      </c>
      <c r="E38" s="19" t="n"/>
      <c r="F38" s="19" t="n"/>
      <c r="G38" s="17" t="inlineStr">
        <is>
          <t>Huvuddel</t>
        </is>
      </c>
      <c r="H38" s="17" t="inlineStr">
        <is>
          <t>Teknik</t>
        </is>
      </c>
      <c r="I38" s="18" t="inlineStr">
        <is>
          <t>Långa tillslag</t>
        </is>
      </c>
      <c r="J38" s="17" t="inlineStr">
        <is>
          <t>4 Spelmotor</t>
        </is>
      </c>
      <c r="K38" s="17" t="inlineStr"/>
      <c r="L38" s="19" t="n"/>
      <c r="M38" s="19" t="n"/>
      <c r="N38" s="20" t="inlineStr">
        <is>
          <t>Nej</t>
        </is>
      </c>
      <c r="O38" s="19" t="n">
        <v>7</v>
      </c>
      <c r="P38" s="19" t="n">
        <v>14</v>
      </c>
      <c r="Q38" s="17" t="inlineStr">
        <is>
          <t>Alla</t>
        </is>
      </c>
      <c r="R38" s="17" t="inlineStr">
        <is>
          <t>Back</t>
        </is>
      </c>
      <c r="S38" s="20" t="inlineStr">
        <is>
          <t>x</t>
        </is>
      </c>
      <c r="T38" s="20" t="n"/>
      <c r="U38" s="20" t="inlineStr">
        <is>
          <t>x</t>
        </is>
      </c>
      <c r="V38" s="20" t="n"/>
      <c r="W38" s="20" t="n"/>
      <c r="X38" s="20" t="n"/>
      <c r="Y38" s="17" t="inlineStr"/>
      <c r="Z38" s="20" t="n"/>
      <c r="AA38" s="20" t="inlineStr">
        <is>
          <t>x</t>
        </is>
      </c>
      <c r="AB38" s="20" t="inlineStr">
        <is>
          <t>x</t>
        </is>
      </c>
      <c r="AC38" s="17" t="inlineStr">
        <is>
          <t>Alla</t>
        </is>
      </c>
      <c r="AD38" s="18" t="inlineStr">
        <is>
          <t>Utbildningsvägen nivå 4, back</t>
        </is>
      </c>
      <c r="AE38" s="18" t="inlineStr"/>
    </row>
    <row r="39">
      <c r="A39" s="17" t="inlineStr">
        <is>
          <t>n4-mitt-tempo</t>
        </is>
      </c>
      <c r="B39" s="18" t="inlineStr">
        <is>
          <t>Tempo och spelvändning</t>
        </is>
      </c>
      <c r="C39" s="18" t="inlineStr">
        <is>
          <t>Få touch, lång passning till andra kanten.</t>
        </is>
      </c>
      <c r="D39" s="17" t="inlineStr">
        <is>
          <t>Övning</t>
        </is>
      </c>
      <c r="E39" s="19" t="n"/>
      <c r="F39" s="19" t="n"/>
      <c r="G39" s="17" t="inlineStr">
        <is>
          <t>Huvuddel</t>
        </is>
      </c>
      <c r="H39" s="17" t="inlineStr">
        <is>
          <t>Teknik</t>
        </is>
      </c>
      <c r="I39" s="18" t="inlineStr">
        <is>
          <t>Långa tillslag, Spelförståelse</t>
        </is>
      </c>
      <c r="J39" s="17" t="inlineStr">
        <is>
          <t>4 Spelmotor</t>
        </is>
      </c>
      <c r="K39" s="17" t="inlineStr"/>
      <c r="L39" s="19" t="n"/>
      <c r="M39" s="19" t="n"/>
      <c r="N39" s="20" t="inlineStr">
        <is>
          <t>Nej</t>
        </is>
      </c>
      <c r="O39" s="19" t="n">
        <v>7</v>
      </c>
      <c r="P39" s="19" t="n">
        <v>14</v>
      </c>
      <c r="Q39" s="17" t="inlineStr">
        <is>
          <t>Alla</t>
        </is>
      </c>
      <c r="R39" s="17" t="inlineStr">
        <is>
          <t>Mittfältare</t>
        </is>
      </c>
      <c r="S39" s="20" t="inlineStr">
        <is>
          <t>x</t>
        </is>
      </c>
      <c r="T39" s="20" t="inlineStr">
        <is>
          <t>x</t>
        </is>
      </c>
      <c r="U39" s="20" t="n"/>
      <c r="V39" s="20" t="n"/>
      <c r="W39" s="20" t="n"/>
      <c r="X39" s="20" t="n"/>
      <c r="Y39" s="17" t="inlineStr"/>
      <c r="Z39" s="20" t="n"/>
      <c r="AA39" s="20" t="inlineStr">
        <is>
          <t>x</t>
        </is>
      </c>
      <c r="AB39" s="20" t="inlineStr">
        <is>
          <t>x</t>
        </is>
      </c>
      <c r="AC39" s="17" t="inlineStr">
        <is>
          <t>Alla</t>
        </is>
      </c>
      <c r="AD39" s="18" t="inlineStr">
        <is>
          <t>Utbildningsvägen nivå 4, mittfältare</t>
        </is>
      </c>
      <c r="AE39" s="18" t="inlineStr"/>
    </row>
    <row r="40">
      <c r="A40" s="17" t="inlineStr">
        <is>
          <t>n4-anf-nick</t>
        </is>
      </c>
      <c r="B40" s="18" t="inlineStr">
        <is>
          <t>Nickskott</t>
        </is>
      </c>
      <c r="C40" s="18" t="inlineStr">
        <is>
          <t>Möta inlägget och styra nicken nedåt.</t>
        </is>
      </c>
      <c r="D40" s="17" t="inlineStr">
        <is>
          <t>Övning</t>
        </is>
      </c>
      <c r="E40" s="19" t="n"/>
      <c r="F40" s="19" t="n"/>
      <c r="G40" s="17" t="inlineStr">
        <is>
          <t>Huvuddel</t>
        </is>
      </c>
      <c r="H40" s="17" t="inlineStr">
        <is>
          <t>Koordination</t>
        </is>
      </c>
      <c r="I40" s="18" t="inlineStr">
        <is>
          <t>Nickar, Avslut</t>
        </is>
      </c>
      <c r="J40" s="17" t="inlineStr">
        <is>
          <t>4 Spelmotor</t>
        </is>
      </c>
      <c r="K40" s="17" t="inlineStr"/>
      <c r="L40" s="19" t="n"/>
      <c r="M40" s="19" t="n"/>
      <c r="N40" s="20" t="inlineStr">
        <is>
          <t>Nej</t>
        </is>
      </c>
      <c r="O40" s="19" t="n">
        <v>7</v>
      </c>
      <c r="P40" s="19" t="n">
        <v>14</v>
      </c>
      <c r="Q40" s="17" t="inlineStr">
        <is>
          <t>Alla</t>
        </is>
      </c>
      <c r="R40" s="17" t="inlineStr">
        <is>
          <t>Anfallare</t>
        </is>
      </c>
      <c r="S40" s="20" t="inlineStr">
        <is>
          <t>x</t>
        </is>
      </c>
      <c r="T40" s="20" t="n"/>
      <c r="U40" s="20" t="inlineStr">
        <is>
          <t>x</t>
        </is>
      </c>
      <c r="V40" s="20" t="n"/>
      <c r="W40" s="20" t="n"/>
      <c r="X40" s="20" t="n"/>
      <c r="Y40" s="17" t="inlineStr"/>
      <c r="Z40" s="20" t="n"/>
      <c r="AA40" s="20" t="inlineStr">
        <is>
          <t>x</t>
        </is>
      </c>
      <c r="AB40" s="20" t="n"/>
      <c r="AC40" s="17" t="inlineStr">
        <is>
          <t>Alla</t>
        </is>
      </c>
      <c r="AD40" s="18" t="inlineStr">
        <is>
          <t>Utbildningsvägen nivå 4, anfallare</t>
        </is>
      </c>
      <c r="AE40" s="18" t="inlineStr"/>
    </row>
    <row r="41">
      <c r="A41" s="17" t="inlineStr">
        <is>
          <t>n5-avslut-fart</t>
        </is>
      </c>
      <c r="B41" s="18" t="inlineStr">
        <is>
          <t>Avslut i fart</t>
        </is>
      </c>
      <c r="C41" s="18" t="inlineStr">
        <is>
          <t>Driv, touch, skott. Allt i full fart.</t>
        </is>
      </c>
      <c r="D41" s="17" t="inlineStr">
        <is>
          <t>Övning</t>
        </is>
      </c>
      <c r="E41" s="19" t="n"/>
      <c r="F41" s="19" t="n"/>
      <c r="G41" s="17" t="inlineStr">
        <is>
          <t>Huvuddel</t>
        </is>
      </c>
      <c r="H41" s="17" t="inlineStr">
        <is>
          <t>Teknik</t>
        </is>
      </c>
      <c r="I41" s="18" t="inlineStr">
        <is>
          <t>Avslut, Driv</t>
        </is>
      </c>
      <c r="J41" s="17" t="inlineStr">
        <is>
          <t>5 Matchvinnare</t>
        </is>
      </c>
      <c r="K41" s="17" t="inlineStr"/>
      <c r="L41" s="19" t="n"/>
      <c r="M41" s="19" t="n"/>
      <c r="N41" s="20" t="inlineStr">
        <is>
          <t>Nej</t>
        </is>
      </c>
      <c r="O41" s="19" t="n">
        <v>7</v>
      </c>
      <c r="P41" s="19" t="n">
        <v>14</v>
      </c>
      <c r="Q41" s="17" t="inlineStr">
        <is>
          <t>Alla</t>
        </is>
      </c>
      <c r="R41" s="17" t="inlineStr">
        <is>
          <t>Alla</t>
        </is>
      </c>
      <c r="S41" s="20" t="inlineStr">
        <is>
          <t>x</t>
        </is>
      </c>
      <c r="T41" s="20" t="inlineStr">
        <is>
          <t>x</t>
        </is>
      </c>
      <c r="U41" s="20" t="inlineStr">
        <is>
          <t>x</t>
        </is>
      </c>
      <c r="V41" s="20" t="n"/>
      <c r="W41" s="20" t="n"/>
      <c r="X41" s="20" t="n"/>
      <c r="Y41" s="17" t="inlineStr"/>
      <c r="Z41" s="20" t="n"/>
      <c r="AA41" s="20" t="inlineStr">
        <is>
          <t>x</t>
        </is>
      </c>
      <c r="AB41" s="20" t="n"/>
      <c r="AC41" s="17" t="inlineStr">
        <is>
          <t>Alla</t>
        </is>
      </c>
      <c r="AD41" s="18" t="inlineStr">
        <is>
          <t>Utbildningsvägen nivå 5 + Stigen etapp 5 (e5-fart)</t>
        </is>
      </c>
      <c r="AE41" s="18" t="inlineStr"/>
    </row>
    <row r="42">
      <c r="A42" s="17" t="inlineStr">
        <is>
          <t>n5-en-mot-en</t>
        </is>
      </c>
      <c r="B42" s="18" t="inlineStr">
        <is>
          <t>En mot en i matchfart</t>
        </is>
      </c>
      <c r="C42" s="18" t="inlineStr">
        <is>
          <t>Fint, riktningsbyte och avslut mot en aktiv motståndare.</t>
        </is>
      </c>
      <c r="D42" s="17" t="inlineStr">
        <is>
          <t>Övning</t>
        </is>
      </c>
      <c r="E42" s="19" t="n"/>
      <c r="F42" s="19" t="n"/>
      <c r="G42" s="17" t="inlineStr">
        <is>
          <t>Huvuddel</t>
        </is>
      </c>
      <c r="H42" s="17" t="inlineStr">
        <is>
          <t>Teknik</t>
        </is>
      </c>
      <c r="I42" s="18" t="inlineStr">
        <is>
          <t>Dribbling &amp; finter, Avslut</t>
        </is>
      </c>
      <c r="J42" s="17" t="inlineStr">
        <is>
          <t>5 Matchvinnare</t>
        </is>
      </c>
      <c r="K42" s="17" t="inlineStr"/>
      <c r="L42" s="19" t="n"/>
      <c r="M42" s="19" t="n"/>
      <c r="N42" s="20" t="inlineStr">
        <is>
          <t>Nej</t>
        </is>
      </c>
      <c r="O42" s="19" t="n">
        <v>7</v>
      </c>
      <c r="P42" s="19" t="n">
        <v>14</v>
      </c>
      <c r="Q42" s="17" t="inlineStr">
        <is>
          <t>Alla</t>
        </is>
      </c>
      <c r="R42" s="17" t="inlineStr">
        <is>
          <t>Alla</t>
        </is>
      </c>
      <c r="S42" s="20" t="inlineStr">
        <is>
          <t>x</t>
        </is>
      </c>
      <c r="T42" s="20" t="n"/>
      <c r="U42" s="20" t="inlineStr">
        <is>
          <t>x</t>
        </is>
      </c>
      <c r="V42" s="20" t="n"/>
      <c r="W42" s="20" t="n"/>
      <c r="X42" s="20" t="n"/>
      <c r="Y42" s="17" t="inlineStr"/>
      <c r="Z42" s="20" t="n"/>
      <c r="AA42" s="20" t="inlineStr">
        <is>
          <t>x</t>
        </is>
      </c>
      <c r="AB42" s="20" t="inlineStr">
        <is>
          <t>x</t>
        </is>
      </c>
      <c r="AC42" s="17" t="inlineStr">
        <is>
          <t>Alla</t>
        </is>
      </c>
      <c r="AD42" s="18" t="inlineStr">
        <is>
          <t>Utbildningsvägen nivå 5 + Stigen etapp 5 (e5-enmoten)</t>
        </is>
      </c>
      <c r="AE42" s="18" t="inlineStr"/>
    </row>
    <row r="43">
      <c r="A43" s="17" t="inlineStr">
        <is>
          <t>n5-mv-straff</t>
        </is>
      </c>
      <c r="B43" s="18" t="inlineStr">
        <is>
          <t>Straffar och en mot en</t>
        </is>
      </c>
      <c r="C43" s="18" t="inlineStr">
        <is>
          <t>Läsa skytten, stå stor, välja rätt.</t>
        </is>
      </c>
      <c r="D43" s="17" t="inlineStr">
        <is>
          <t>Övning</t>
        </is>
      </c>
      <c r="E43" s="19" t="n"/>
      <c r="F43" s="19" t="n"/>
      <c r="G43" s="17" t="inlineStr">
        <is>
          <t>Huvuddel</t>
        </is>
      </c>
      <c r="H43" s="17" t="inlineStr">
        <is>
          <t>Koordination</t>
        </is>
      </c>
      <c r="I43" s="18" t="inlineStr">
        <is>
          <t>Målvaktsspel</t>
        </is>
      </c>
      <c r="J43" s="17" t="inlineStr">
        <is>
          <t>5 Matchvinnare</t>
        </is>
      </c>
      <c r="K43" s="17" t="inlineStr"/>
      <c r="L43" s="19" t="n"/>
      <c r="M43" s="19" t="n"/>
      <c r="N43" s="20" t="inlineStr">
        <is>
          <t>Nej</t>
        </is>
      </c>
      <c r="O43" s="19" t="n">
        <v>7</v>
      </c>
      <c r="P43" s="19" t="n">
        <v>14</v>
      </c>
      <c r="Q43" s="17" t="inlineStr">
        <is>
          <t>Alla</t>
        </is>
      </c>
      <c r="R43" s="17" t="inlineStr">
        <is>
          <t>Målvakt</t>
        </is>
      </c>
      <c r="S43" s="20" t="inlineStr">
        <is>
          <t>x</t>
        </is>
      </c>
      <c r="T43" s="20" t="n"/>
      <c r="U43" s="20" t="inlineStr">
        <is>
          <t>x</t>
        </is>
      </c>
      <c r="V43" s="20" t="n"/>
      <c r="W43" s="20" t="n"/>
      <c r="X43" s="20" t="n"/>
      <c r="Y43" s="17" t="inlineStr"/>
      <c r="Z43" s="20" t="n"/>
      <c r="AA43" s="20" t="inlineStr">
        <is>
          <t>x</t>
        </is>
      </c>
      <c r="AB43" s="20" t="inlineStr">
        <is>
          <t>x</t>
        </is>
      </c>
      <c r="AC43" s="17" t="inlineStr">
        <is>
          <t>Alla</t>
        </is>
      </c>
      <c r="AD43" s="18" t="inlineStr">
        <is>
          <t>Utbildningsvägen nivå 5, målvakt</t>
        </is>
      </c>
      <c r="AE43" s="18" t="inlineStr"/>
    </row>
    <row r="44">
      <c r="A44" s="17" t="inlineStr">
        <is>
          <t>n5-anf-press</t>
        </is>
      </c>
      <c r="B44" s="18" t="inlineStr">
        <is>
          <t>Avslut under press</t>
        </is>
      </c>
      <c r="C44" s="18" t="inlineStr">
        <is>
          <t>Kallt huvud med en back i ryggen.</t>
        </is>
      </c>
      <c r="D44" s="17" t="inlineStr">
        <is>
          <t>Övning</t>
        </is>
      </c>
      <c r="E44" s="19" t="n"/>
      <c r="F44" s="19" t="n"/>
      <c r="G44" s="17" t="inlineStr">
        <is>
          <t>Huvuddel</t>
        </is>
      </c>
      <c r="H44" s="17" t="inlineStr">
        <is>
          <t>Teknik</t>
        </is>
      </c>
      <c r="I44" s="18" t="inlineStr">
        <is>
          <t>Avslut</t>
        </is>
      </c>
      <c r="J44" s="17" t="inlineStr">
        <is>
          <t>5 Matchvinnare</t>
        </is>
      </c>
      <c r="K44" s="17" t="inlineStr"/>
      <c r="L44" s="19" t="n"/>
      <c r="M44" s="19" t="n"/>
      <c r="N44" s="20" t="inlineStr">
        <is>
          <t>Nej</t>
        </is>
      </c>
      <c r="O44" s="19" t="n">
        <v>7</v>
      </c>
      <c r="P44" s="19" t="n">
        <v>14</v>
      </c>
      <c r="Q44" s="17" t="inlineStr">
        <is>
          <t>Alla</t>
        </is>
      </c>
      <c r="R44" s="17" t="inlineStr">
        <is>
          <t>Anfallare</t>
        </is>
      </c>
      <c r="S44" s="20" t="inlineStr">
        <is>
          <t>x</t>
        </is>
      </c>
      <c r="T44" s="20" t="n"/>
      <c r="U44" s="20" t="inlineStr">
        <is>
          <t>x</t>
        </is>
      </c>
      <c r="V44" s="20" t="n"/>
      <c r="W44" s="20" t="n"/>
      <c r="X44" s="20" t="n"/>
      <c r="Y44" s="17" t="inlineStr"/>
      <c r="Z44" s="20" t="n"/>
      <c r="AA44" s="20" t="inlineStr">
        <is>
          <t>x</t>
        </is>
      </c>
      <c r="AB44" s="20" t="inlineStr">
        <is>
          <t>x</t>
        </is>
      </c>
      <c r="AC44" s="17" t="inlineStr">
        <is>
          <t>Alla</t>
        </is>
      </c>
      <c r="AD44" s="18" t="inlineStr">
        <is>
          <t>Utbildningsvägen nivå 5, anfallare</t>
        </is>
      </c>
      <c r="AE44" s="18" t="inlineStr"/>
    </row>
    <row r="45">
      <c r="A45" s="17" t="inlineStr">
        <is>
          <t>e1-jong</t>
        </is>
      </c>
      <c r="B45" s="18" t="inlineStr">
        <is>
          <t>Jonglering, steg 1</t>
        </is>
      </c>
      <c r="C45" s="18" t="inlineStr">
        <is>
          <t>Fem i rad med foten.</t>
        </is>
      </c>
      <c r="D45" s="17" t="inlineStr">
        <is>
          <t>Övning</t>
        </is>
      </c>
      <c r="E45" s="19" t="n"/>
      <c r="F45" s="19" t="n"/>
      <c r="G45" s="17" t="inlineStr">
        <is>
          <t>Huvuddel</t>
        </is>
      </c>
      <c r="H45" s="17" t="inlineStr">
        <is>
          <t>Bollkontroll</t>
        </is>
      </c>
      <c r="I45" s="18" t="inlineStr">
        <is>
          <t>Jonglering &amp; bollkänsla</t>
        </is>
      </c>
      <c r="J45" s="17" t="inlineStr">
        <is>
          <t>1 Bollkompis</t>
        </is>
      </c>
      <c r="K45" s="17" t="inlineStr"/>
      <c r="L45" s="19" t="n"/>
      <c r="M45" s="19" t="n"/>
      <c r="N45" s="20" t="inlineStr">
        <is>
          <t>Nej</t>
        </is>
      </c>
      <c r="O45" s="19" t="n">
        <v>7</v>
      </c>
      <c r="P45" s="19" t="n">
        <v>14</v>
      </c>
      <c r="Q45" s="17" t="inlineStr">
        <is>
          <t>Alla</t>
        </is>
      </c>
      <c r="R45" s="17" t="inlineStr">
        <is>
          <t>Alla</t>
        </is>
      </c>
      <c r="S45" s="20" t="inlineStr">
        <is>
          <t>x</t>
        </is>
      </c>
      <c r="T45" s="20" t="n"/>
      <c r="U45" s="20" t="n"/>
      <c r="V45" s="20" t="n"/>
      <c r="W45" s="20" t="n"/>
      <c r="X45" s="20" t="n"/>
      <c r="Y45" s="17" t="inlineStr">
        <is>
          <t>Liten (5×5 m)</t>
        </is>
      </c>
      <c r="Z45" s="20" t="inlineStr">
        <is>
          <t>x</t>
        </is>
      </c>
      <c r="AA45" s="20" t="n"/>
      <c r="AB45" s="20" t="n"/>
      <c r="AC45" s="17" t="inlineStr">
        <is>
          <t>Alla</t>
        </is>
      </c>
      <c r="AD45" s="18" t="inlineStr">
        <is>
          <t>Stigen etapp 1 (e1-jong)</t>
        </is>
      </c>
      <c r="AE45" s="18" t="inlineStr"/>
    </row>
    <row r="46">
      <c r="A46" s="17" t="inlineStr">
        <is>
          <t>e1-slalom</t>
        </is>
      </c>
      <c r="B46" s="18" t="inlineStr">
        <is>
          <t>Slalom genom fem koner</t>
        </is>
      </c>
      <c r="C46" s="18" t="inlineStr">
        <is>
          <t>Ställ fem koner med en meter mellan. Dribbla tur och retur så fort du kan utan att missa en kon. Föräldern tar tiden i appen.</t>
        </is>
      </c>
      <c r="D46" s="17" t="inlineStr">
        <is>
          <t>Tidtagning</t>
        </is>
      </c>
      <c r="E46" s="19" t="n"/>
      <c r="F46" s="19" t="n">
        <v>25</v>
      </c>
      <c r="G46" s="17" t="inlineStr"/>
      <c r="H46" s="17" t="inlineStr"/>
      <c r="I46" s="18" t="inlineStr">
        <is>
          <t>Dribbling &amp; finter, Driv</t>
        </is>
      </c>
      <c r="J46" s="17" t="inlineStr">
        <is>
          <t>1 Bollkompis</t>
        </is>
      </c>
      <c r="K46" s="17" t="inlineStr"/>
      <c r="L46" s="19" t="n"/>
      <c r="M46" s="19" t="n"/>
      <c r="N46" s="20" t="inlineStr">
        <is>
          <t>Nej</t>
        </is>
      </c>
      <c r="O46" s="19" t="n">
        <v>7</v>
      </c>
      <c r="P46" s="19" t="n">
        <v>14</v>
      </c>
      <c r="Q46" s="17" t="inlineStr">
        <is>
          <t>Alla</t>
        </is>
      </c>
      <c r="R46" s="17" t="inlineStr">
        <is>
          <t>Alla</t>
        </is>
      </c>
      <c r="S46" s="20" t="inlineStr">
        <is>
          <t>x</t>
        </is>
      </c>
      <c r="T46" s="20" t="inlineStr">
        <is>
          <t>x</t>
        </is>
      </c>
      <c r="U46" s="20" t="n"/>
      <c r="V46" s="20" t="n"/>
      <c r="W46" s="20" t="n"/>
      <c r="X46" s="20" t="n"/>
      <c r="Y46" s="17" t="inlineStr">
        <is>
          <t>Mellan (10×10 m)</t>
        </is>
      </c>
      <c r="Z46" s="20" t="n"/>
      <c r="AA46" s="20" t="inlineStr">
        <is>
          <t>x</t>
        </is>
      </c>
      <c r="AB46" s="20" t="n"/>
      <c r="AC46" s="17" t="inlineStr">
        <is>
          <t>Alla</t>
        </is>
      </c>
      <c r="AD46" s="18" t="inlineStr">
        <is>
          <t>Stigen etapp 1, tidtagning</t>
        </is>
      </c>
      <c r="AE46" s="18" t="inlineStr"/>
    </row>
    <row r="47">
      <c r="A47" s="17" t="inlineStr">
        <is>
          <t>e2-vagg</t>
        </is>
      </c>
      <c r="B47" s="18" t="inlineStr">
        <is>
          <t>20 passningar mot vägg</t>
        </is>
      </c>
      <c r="C47" s="18" t="inlineStr">
        <is>
          <t>Stå tre meter från en vägg. Passa med insidan, ta emot, passa igen. Tiden för 20 passningar.</t>
        </is>
      </c>
      <c r="D47" s="17" t="inlineStr">
        <is>
          <t>Tidtagning</t>
        </is>
      </c>
      <c r="E47" s="19" t="n"/>
      <c r="F47" s="19" t="n">
        <v>40</v>
      </c>
      <c r="G47" s="17" t="inlineStr"/>
      <c r="H47" s="17" t="inlineStr"/>
      <c r="I47" s="18" t="inlineStr">
        <is>
          <t>Passning insida, Första touch</t>
        </is>
      </c>
      <c r="J47" s="17" t="inlineStr">
        <is>
          <t>2 Touchmästare</t>
        </is>
      </c>
      <c r="K47" s="17" t="inlineStr"/>
      <c r="L47" s="19" t="n"/>
      <c r="M47" s="19" t="n"/>
      <c r="N47" s="20" t="inlineStr">
        <is>
          <t>Nej</t>
        </is>
      </c>
      <c r="O47" s="19" t="n">
        <v>7</v>
      </c>
      <c r="P47" s="19" t="n">
        <v>14</v>
      </c>
      <c r="Q47" s="17" t="inlineStr">
        <is>
          <t>Alla</t>
        </is>
      </c>
      <c r="R47" s="17" t="inlineStr">
        <is>
          <t>Alla</t>
        </is>
      </c>
      <c r="S47" s="20" t="inlineStr">
        <is>
          <t>x</t>
        </is>
      </c>
      <c r="T47" s="20" t="n"/>
      <c r="U47" s="20" t="n"/>
      <c r="V47" s="20" t="inlineStr">
        <is>
          <t>x</t>
        </is>
      </c>
      <c r="W47" s="20" t="n"/>
      <c r="X47" s="20" t="n"/>
      <c r="Y47" s="17" t="inlineStr">
        <is>
          <t>Liten (5×5 m)</t>
        </is>
      </c>
      <c r="Z47" s="20" t="n"/>
      <c r="AA47" s="20" t="inlineStr">
        <is>
          <t>x</t>
        </is>
      </c>
      <c r="AB47" s="20" t="n"/>
      <c r="AC47" s="17" t="inlineStr">
        <is>
          <t>Alla</t>
        </is>
      </c>
      <c r="AD47" s="18" t="inlineStr">
        <is>
          <t>Stigen etapp 2, tidtagning</t>
        </is>
      </c>
      <c r="AE47" s="18" t="inlineStr"/>
    </row>
    <row r="48">
      <c r="A48" s="17" t="inlineStr">
        <is>
          <t>e2-driv</t>
        </is>
      </c>
      <c r="B48" s="18" t="inlineStr">
        <is>
          <t>Driv 20 meter och tillbaka</t>
        </is>
      </c>
      <c r="C48" s="18" t="inlineStr">
        <is>
          <t>Två koner med 20 meter mellan. Driv dit, vänd med sulan, driv tillbaka. Bollen under kontroll hela vägen.</t>
        </is>
      </c>
      <c r="D48" s="17" t="inlineStr">
        <is>
          <t>Tidtagning</t>
        </is>
      </c>
      <c r="E48" s="19" t="n"/>
      <c r="F48" s="19" t="n">
        <v>14</v>
      </c>
      <c r="G48" s="17" t="inlineStr"/>
      <c r="H48" s="17" t="inlineStr"/>
      <c r="I48" s="18" t="inlineStr">
        <is>
          <t>Driv, Vändningar</t>
        </is>
      </c>
      <c r="J48" s="17" t="inlineStr">
        <is>
          <t>2 Touchmästare</t>
        </is>
      </c>
      <c r="K48" s="17" t="inlineStr"/>
      <c r="L48" s="19" t="n"/>
      <c r="M48" s="19" t="n"/>
      <c r="N48" s="20" t="inlineStr">
        <is>
          <t>Nej</t>
        </is>
      </c>
      <c r="O48" s="19" t="n">
        <v>7</v>
      </c>
      <c r="P48" s="19" t="n">
        <v>14</v>
      </c>
      <c r="Q48" s="17" t="inlineStr">
        <is>
          <t>Alla</t>
        </is>
      </c>
      <c r="R48" s="17" t="inlineStr">
        <is>
          <t>Alla</t>
        </is>
      </c>
      <c r="S48" s="20" t="inlineStr">
        <is>
          <t>x</t>
        </is>
      </c>
      <c r="T48" s="20" t="inlineStr">
        <is>
          <t>x</t>
        </is>
      </c>
      <c r="U48" s="20" t="n"/>
      <c r="V48" s="20" t="n"/>
      <c r="W48" s="20" t="n"/>
      <c r="X48" s="20" t="n"/>
      <c r="Y48" s="17" t="inlineStr">
        <is>
          <t>Stor (halvplan)</t>
        </is>
      </c>
      <c r="Z48" s="20" t="n"/>
      <c r="AA48" s="20" t="inlineStr">
        <is>
          <t>x</t>
        </is>
      </c>
      <c r="AB48" s="20" t="n"/>
      <c r="AC48" s="17" t="inlineStr">
        <is>
          <t>Alla</t>
        </is>
      </c>
      <c r="AD48" s="18" t="inlineStr">
        <is>
          <t>Stigen etapp 2, tidtagning</t>
        </is>
      </c>
      <c r="AE48" s="18" t="inlineStr"/>
    </row>
    <row r="49">
      <c r="A49" s="17" t="inlineStr">
        <is>
          <t>e3-fotter</t>
        </is>
      </c>
      <c r="B49" s="18" t="inlineStr">
        <is>
          <t>30 tåtouch på tid</t>
        </is>
      </c>
      <c r="C49" s="18" t="inlineStr">
        <is>
          <t>Bollen stilla, växla fot ovanpå bollen. Tiden för 30 touch.</t>
        </is>
      </c>
      <c r="D49" s="17" t="inlineStr">
        <is>
          <t>Tidtagning</t>
        </is>
      </c>
      <c r="E49" s="19" t="n"/>
      <c r="F49" s="19" t="n">
        <v>20</v>
      </c>
      <c r="G49" s="17" t="inlineStr"/>
      <c r="H49" s="17" t="inlineStr"/>
      <c r="I49" s="18" t="inlineStr">
        <is>
          <t>Snabba fötter</t>
        </is>
      </c>
      <c r="J49" s="17" t="inlineStr">
        <is>
          <t>3 Dribblare</t>
        </is>
      </c>
      <c r="K49" s="17" t="inlineStr"/>
      <c r="L49" s="19" t="n"/>
      <c r="M49" s="19" t="n"/>
      <c r="N49" s="20" t="inlineStr">
        <is>
          <t>Nej</t>
        </is>
      </c>
      <c r="O49" s="19" t="n">
        <v>7</v>
      </c>
      <c r="P49" s="19" t="n">
        <v>14</v>
      </c>
      <c r="Q49" s="17" t="inlineStr">
        <is>
          <t>Alla</t>
        </is>
      </c>
      <c r="R49" s="17" t="inlineStr">
        <is>
          <t>Alla</t>
        </is>
      </c>
      <c r="S49" s="20" t="inlineStr">
        <is>
          <t>x</t>
        </is>
      </c>
      <c r="T49" s="20" t="n"/>
      <c r="U49" s="20" t="n"/>
      <c r="V49" s="20" t="n"/>
      <c r="W49" s="20" t="n"/>
      <c r="X49" s="20" t="n"/>
      <c r="Y49" s="17" t="inlineStr">
        <is>
          <t>Liten (5×5 m)</t>
        </is>
      </c>
      <c r="Z49" s="20" t="n"/>
      <c r="AA49" s="20" t="inlineStr">
        <is>
          <t>x</t>
        </is>
      </c>
      <c r="AB49" s="20" t="n"/>
      <c r="AC49" s="17" t="inlineStr">
        <is>
          <t>Alla</t>
        </is>
      </c>
      <c r="AD49" s="18" t="inlineStr">
        <is>
          <t>Stigen etapp 3, tidtagning</t>
        </is>
      </c>
      <c r="AE49" s="18" t="inlineStr"/>
    </row>
    <row r="50">
      <c r="A50" s="17" t="inlineStr">
        <is>
          <t>e4-konrad</t>
        </is>
      </c>
      <c r="B50" s="18" t="inlineStr">
        <is>
          <t>Konraden med boll, två varv</t>
        </is>
      </c>
      <c r="C50" s="18" t="inlineStr">
        <is>
          <t>Sex koner på rad. Driv slalom fram och tillbaka två gånger.</t>
        </is>
      </c>
      <c r="D50" s="17" t="inlineStr">
        <is>
          <t>Tidtagning</t>
        </is>
      </c>
      <c r="E50" s="19" t="n"/>
      <c r="F50" s="19" t="n">
        <v>30</v>
      </c>
      <c r="G50" s="17" t="inlineStr"/>
      <c r="H50" s="17" t="inlineStr"/>
      <c r="I50" s="18" t="inlineStr">
        <is>
          <t>Dribbling &amp; finter</t>
        </is>
      </c>
      <c r="J50" s="17" t="inlineStr">
        <is>
          <t>4 Spelmotor</t>
        </is>
      </c>
      <c r="K50" s="17" t="inlineStr"/>
      <c r="L50" s="19" t="n"/>
      <c r="M50" s="19" t="n"/>
      <c r="N50" s="20" t="inlineStr">
        <is>
          <t>Nej</t>
        </is>
      </c>
      <c r="O50" s="19" t="n">
        <v>7</v>
      </c>
      <c r="P50" s="19" t="n">
        <v>14</v>
      </c>
      <c r="Q50" s="17" t="inlineStr">
        <is>
          <t>Alla</t>
        </is>
      </c>
      <c r="R50" s="17" t="inlineStr">
        <is>
          <t>Alla</t>
        </is>
      </c>
      <c r="S50" s="20" t="inlineStr">
        <is>
          <t>x</t>
        </is>
      </c>
      <c r="T50" s="20" t="inlineStr">
        <is>
          <t>x</t>
        </is>
      </c>
      <c r="U50" s="20" t="n"/>
      <c r="V50" s="20" t="n"/>
      <c r="W50" s="20" t="n"/>
      <c r="X50" s="20" t="n"/>
      <c r="Y50" s="17" t="inlineStr">
        <is>
          <t>Mellan (10×10 m)</t>
        </is>
      </c>
      <c r="Z50" s="20" t="n"/>
      <c r="AA50" s="20" t="inlineStr">
        <is>
          <t>x</t>
        </is>
      </c>
      <c r="AB50" s="20" t="n"/>
      <c r="AC50" s="17" t="inlineStr">
        <is>
          <t>Alla</t>
        </is>
      </c>
      <c r="AD50" s="18" t="inlineStr">
        <is>
          <t>Stigen etapp 4, tidtagning</t>
        </is>
      </c>
      <c r="AE50" s="18" t="inlineStr"/>
    </row>
    <row r="51">
      <c r="A51" s="17" t="inlineStr">
        <is>
          <t>n1-prov</t>
        </is>
      </c>
      <c r="B51" s="18" t="inlineStr">
        <is>
          <t>Nivåprov 1</t>
        </is>
      </c>
      <c r="C51" s="18" t="inlineStr">
        <is>
          <t>Filma barnet: 20 touch med bollen nära foten utan att tappa den, och tio mottagningar med insidan. Haris tittar och godkänner.</t>
        </is>
      </c>
      <c r="D51" s="17" t="inlineStr">
        <is>
          <t>Nivåprov</t>
        </is>
      </c>
      <c r="E51" s="19" t="n"/>
      <c r="F51" s="19" t="n"/>
      <c r="G51" s="17" t="inlineStr"/>
      <c r="H51" s="17" t="inlineStr"/>
      <c r="I51" s="18" t="inlineStr">
        <is>
          <t>Jonglering &amp; bollkänsla, Första touch</t>
        </is>
      </c>
      <c r="J51" s="17" t="inlineStr">
        <is>
          <t>1 Bollkompis</t>
        </is>
      </c>
      <c r="K51" s="17" t="inlineStr"/>
      <c r="L51" s="19" t="n"/>
      <c r="M51" s="19" t="n"/>
      <c r="N51" s="20" t="inlineStr">
        <is>
          <t>Nej</t>
        </is>
      </c>
      <c r="O51" s="19" t="n">
        <v>7</v>
      </c>
      <c r="P51" s="19" t="n">
        <v>14</v>
      </c>
      <c r="Q51" s="17" t="inlineStr">
        <is>
          <t>Alla</t>
        </is>
      </c>
      <c r="R51" s="17" t="inlineStr">
        <is>
          <t>Alla</t>
        </is>
      </c>
      <c r="S51" s="20" t="inlineStr">
        <is>
          <t>x</t>
        </is>
      </c>
      <c r="T51" s="20" t="n"/>
      <c r="U51" s="20" t="n"/>
      <c r="V51" s="20" t="n"/>
      <c r="W51" s="20" t="n"/>
      <c r="X51" s="20" t="n"/>
      <c r="Y51" s="17" t="inlineStr"/>
      <c r="Z51" s="20" t="n"/>
      <c r="AA51" s="20" t="inlineStr">
        <is>
          <t>x</t>
        </is>
      </c>
      <c r="AB51" s="20" t="n"/>
      <c r="AC51" s="17" t="inlineStr">
        <is>
          <t>Alla</t>
        </is>
      </c>
      <c r="AD51" s="18" t="inlineStr">
        <is>
          <t>Utbildningsvägen nivå 1 + stigens grind 1</t>
        </is>
      </c>
      <c r="AE51" s="18" t="inlineStr"/>
    </row>
    <row r="52">
      <c r="A52" s="17" t="inlineStr">
        <is>
          <t>n2-prov</t>
        </is>
      </c>
      <c r="B52" s="18" t="inlineStr">
        <is>
          <t>Nivåprov 2</t>
        </is>
      </c>
      <c r="C52" s="18" t="inlineStr">
        <is>
          <t>Filma: tio passningar i rad med insidan, fem med varje fot, och en dribbling genom fyra koner utan att tappa bollen.</t>
        </is>
      </c>
      <c r="D52" s="17" t="inlineStr">
        <is>
          <t>Nivåprov</t>
        </is>
      </c>
      <c r="E52" s="19" t="n"/>
      <c r="F52" s="19" t="n"/>
      <c r="G52" s="17" t="inlineStr"/>
      <c r="H52" s="17" t="inlineStr"/>
      <c r="I52" s="18" t="inlineStr">
        <is>
          <t>Passning insida, Dribbling &amp; finter</t>
        </is>
      </c>
      <c r="J52" s="17" t="inlineStr">
        <is>
          <t>2 Touchmästare</t>
        </is>
      </c>
      <c r="K52" s="17" t="inlineStr"/>
      <c r="L52" s="19" t="n"/>
      <c r="M52" s="19" t="n"/>
      <c r="N52" s="20" t="inlineStr">
        <is>
          <t>Nej</t>
        </is>
      </c>
      <c r="O52" s="19" t="n">
        <v>7</v>
      </c>
      <c r="P52" s="19" t="n">
        <v>14</v>
      </c>
      <c r="Q52" s="17" t="inlineStr">
        <is>
          <t>Alla</t>
        </is>
      </c>
      <c r="R52" s="17" t="inlineStr">
        <is>
          <t>Alla</t>
        </is>
      </c>
      <c r="S52" s="20" t="inlineStr">
        <is>
          <t>x</t>
        </is>
      </c>
      <c r="T52" s="20" t="inlineStr">
        <is>
          <t>x</t>
        </is>
      </c>
      <c r="U52" s="20" t="n"/>
      <c r="V52" s="20" t="n"/>
      <c r="W52" s="20" t="n"/>
      <c r="X52" s="20" t="n"/>
      <c r="Y52" s="17" t="inlineStr"/>
      <c r="Z52" s="20" t="n"/>
      <c r="AA52" s="20" t="inlineStr">
        <is>
          <t>x</t>
        </is>
      </c>
      <c r="AB52" s="20" t="n"/>
      <c r="AC52" s="17" t="inlineStr">
        <is>
          <t>Alla</t>
        </is>
      </c>
      <c r="AD52" s="18" t="inlineStr">
        <is>
          <t>Utbildningsvägen nivå 2 + stigens grind 2</t>
        </is>
      </c>
      <c r="AE52" s="18" t="inlineStr"/>
    </row>
    <row r="53">
      <c r="A53" s="17" t="inlineStr">
        <is>
          <t>n3-prov</t>
        </is>
      </c>
      <c r="B53" s="18" t="inlineStr">
        <is>
          <t>Nivåprov 3</t>
        </is>
      </c>
      <c r="C53" s="18" t="inlineStr">
        <is>
          <t>Filma: tjugo jongleringar i rad och tre olika finter i fart mot en passiv motståndare.</t>
        </is>
      </c>
      <c r="D53" s="17" t="inlineStr">
        <is>
          <t>Nivåprov</t>
        </is>
      </c>
      <c r="E53" s="19" t="n"/>
      <c r="F53" s="19" t="n"/>
      <c r="G53" s="17" t="inlineStr"/>
      <c r="H53" s="17" t="inlineStr"/>
      <c r="I53" s="18" t="inlineStr">
        <is>
          <t>Jonglering &amp; bollkänsla, Dribbling &amp; finter</t>
        </is>
      </c>
      <c r="J53" s="17" t="inlineStr">
        <is>
          <t>3 Dribblare</t>
        </is>
      </c>
      <c r="K53" s="17" t="inlineStr"/>
      <c r="L53" s="19" t="n"/>
      <c r="M53" s="19" t="n"/>
      <c r="N53" s="20" t="inlineStr">
        <is>
          <t>Nej</t>
        </is>
      </c>
      <c r="O53" s="19" t="n">
        <v>7</v>
      </c>
      <c r="P53" s="19" t="n">
        <v>14</v>
      </c>
      <c r="Q53" s="17" t="inlineStr">
        <is>
          <t>Alla</t>
        </is>
      </c>
      <c r="R53" s="17" t="inlineStr">
        <is>
          <t>Alla</t>
        </is>
      </c>
      <c r="S53" s="20" t="inlineStr">
        <is>
          <t>x</t>
        </is>
      </c>
      <c r="T53" s="20" t="n"/>
      <c r="U53" s="20" t="n"/>
      <c r="V53" s="20" t="n"/>
      <c r="W53" s="20" t="n"/>
      <c r="X53" s="20" t="n"/>
      <c r="Y53" s="17" t="inlineStr"/>
      <c r="Z53" s="20" t="n"/>
      <c r="AA53" s="20" t="inlineStr">
        <is>
          <t>x</t>
        </is>
      </c>
      <c r="AB53" s="20" t="n"/>
      <c r="AC53" s="17" t="inlineStr">
        <is>
          <t>Alla</t>
        </is>
      </c>
      <c r="AD53" s="18" t="inlineStr">
        <is>
          <t>Utbildningsvägen nivå 3 + stigens grind 3</t>
        </is>
      </c>
      <c r="AE53" s="18" t="inlineStr"/>
    </row>
    <row r="54">
      <c r="A54" s="17" t="inlineStr">
        <is>
          <t>n4-prov</t>
        </is>
      </c>
      <c r="B54" s="18" t="inlineStr">
        <is>
          <t>Nivåprov 4</t>
        </is>
      </c>
      <c r="C54" s="18" t="inlineStr">
        <is>
          <t>Filma: fem långa passningar till en kompis på tjugo meter och tre mottagningar under press.</t>
        </is>
      </c>
      <c r="D54" s="17" t="inlineStr">
        <is>
          <t>Nivåprov</t>
        </is>
      </c>
      <c r="E54" s="19" t="n"/>
      <c r="F54" s="19" t="n"/>
      <c r="G54" s="17" t="inlineStr"/>
      <c r="H54" s="17" t="inlineStr"/>
      <c r="I54" s="18" t="inlineStr">
        <is>
          <t>Långa tillslag, Första touch</t>
        </is>
      </c>
      <c r="J54" s="17" t="inlineStr">
        <is>
          <t>4 Spelmotor</t>
        </is>
      </c>
      <c r="K54" s="17" t="inlineStr"/>
      <c r="L54" s="19" t="n"/>
      <c r="M54" s="19" t="n"/>
      <c r="N54" s="20" t="inlineStr">
        <is>
          <t>Nej</t>
        </is>
      </c>
      <c r="O54" s="19" t="n">
        <v>7</v>
      </c>
      <c r="P54" s="19" t="n">
        <v>14</v>
      </c>
      <c r="Q54" s="17" t="inlineStr">
        <is>
          <t>Alla</t>
        </is>
      </c>
      <c r="R54" s="17" t="inlineStr">
        <is>
          <t>Alla</t>
        </is>
      </c>
      <c r="S54" s="20" t="inlineStr">
        <is>
          <t>x</t>
        </is>
      </c>
      <c r="T54" s="20" t="n"/>
      <c r="U54" s="20" t="n"/>
      <c r="V54" s="20" t="n"/>
      <c r="W54" s="20" t="inlineStr">
        <is>
          <t>x</t>
        </is>
      </c>
      <c r="X54" s="20" t="n"/>
      <c r="Y54" s="17" t="inlineStr"/>
      <c r="Z54" s="20" t="n"/>
      <c r="AA54" s="20" t="inlineStr">
        <is>
          <t>x</t>
        </is>
      </c>
      <c r="AB54" s="20" t="inlineStr">
        <is>
          <t>x</t>
        </is>
      </c>
      <c r="AC54" s="17" t="inlineStr">
        <is>
          <t>Alla</t>
        </is>
      </c>
      <c r="AD54" s="18" t="inlineStr">
        <is>
          <t>Utbildningsvägen nivå 4 + stigens grind 4</t>
        </is>
      </c>
      <c r="AE54" s="18" t="inlineStr"/>
    </row>
    <row r="55">
      <c r="A55" s="17" t="inlineStr">
        <is>
          <t>n5-prov</t>
        </is>
      </c>
      <c r="B55" s="18" t="inlineStr">
        <is>
          <t>Diplom: Matchvinnare</t>
        </is>
      </c>
      <c r="C55" s="18" t="inlineStr">
        <is>
          <t>Haris tittar på en hel match eller ett längre träningsklipp och ger ett personligt omdöme.</t>
        </is>
      </c>
      <c r="D55" s="17" t="inlineStr">
        <is>
          <t>Nivåprov</t>
        </is>
      </c>
      <c r="E55" s="19" t="n"/>
      <c r="F55" s="19" t="n"/>
      <c r="G55" s="17" t="inlineStr"/>
      <c r="H55" s="17" t="inlineStr"/>
      <c r="I55" s="18" t="inlineStr">
        <is>
          <t>Spelförståelse</t>
        </is>
      </c>
      <c r="J55" s="17" t="inlineStr">
        <is>
          <t>5 Matchvinnare</t>
        </is>
      </c>
      <c r="K55" s="17" t="inlineStr"/>
      <c r="L55" s="19" t="n"/>
      <c r="M55" s="19" t="n"/>
      <c r="N55" s="20" t="inlineStr">
        <is>
          <t>Nej</t>
        </is>
      </c>
      <c r="O55" s="19" t="n">
        <v>7</v>
      </c>
      <c r="P55" s="19" t="n">
        <v>14</v>
      </c>
      <c r="Q55" s="17" t="inlineStr">
        <is>
          <t>Alla</t>
        </is>
      </c>
      <c r="R55" s="17" t="inlineStr">
        <is>
          <t>Alla</t>
        </is>
      </c>
      <c r="S55" s="20" t="n"/>
      <c r="T55" s="20" t="n"/>
      <c r="U55" s="20" t="n"/>
      <c r="V55" s="20" t="n"/>
      <c r="W55" s="20" t="n"/>
      <c r="X55" s="20" t="n"/>
      <c r="Y55" s="17" t="inlineStr"/>
      <c r="Z55" s="20" t="n"/>
      <c r="AA55" s="20" t="inlineStr">
        <is>
          <t>x</t>
        </is>
      </c>
      <c r="AB55" s="20" t="n"/>
      <c r="AC55" s="17" t="inlineStr">
        <is>
          <t>Alla</t>
        </is>
      </c>
      <c r="AD55" s="18" t="inlineStr">
        <is>
          <t>Utbildningsvägen nivå 5 + stigens grind 5</t>
        </is>
      </c>
      <c r="AE55" s="18" t="inlineStr"/>
    </row>
    <row r="56">
      <c r="A56" s="17" t="inlineStr">
        <is>
          <t>avslut-jonglering</t>
        </is>
      </c>
      <c r="B56" s="18" t="inlineStr">
        <is>
          <t>Avslut: jongleringsrekord</t>
        </is>
      </c>
      <c r="C56" s="18" t="inlineStr">
        <is>
          <t>Räkna hur många jongleringar barnet klarar i rad. Skriv upp rekordet.</t>
        </is>
      </c>
      <c r="D56" s="17" t="inlineStr">
        <is>
          <t>Övning</t>
        </is>
      </c>
      <c r="E56" s="19" t="n"/>
      <c r="F56" s="19" t="n"/>
      <c r="G56" s="17" t="inlineStr">
        <is>
          <t>Avslut</t>
        </is>
      </c>
      <c r="H56" s="17" t="inlineStr">
        <is>
          <t>Bollkontroll</t>
        </is>
      </c>
      <c r="I56" s="18" t="inlineStr">
        <is>
          <t>Jonglering &amp; bollkänsla</t>
        </is>
      </c>
      <c r="J56" s="17" t="inlineStr">
        <is>
          <t>1 Bollkompis</t>
        </is>
      </c>
      <c r="K56" s="17" t="inlineStr"/>
      <c r="L56" s="19" t="n"/>
      <c r="M56" s="19" t="n"/>
      <c r="N56" s="20" t="inlineStr">
        <is>
          <t>Nej</t>
        </is>
      </c>
      <c r="O56" s="19" t="n">
        <v>7</v>
      </c>
      <c r="P56" s="19" t="n">
        <v>14</v>
      </c>
      <c r="Q56" s="17" t="inlineStr">
        <is>
          <t>Alla</t>
        </is>
      </c>
      <c r="R56" s="17" t="inlineStr">
        <is>
          <t>Alla</t>
        </is>
      </c>
      <c r="S56" s="20" t="inlineStr">
        <is>
          <t>x</t>
        </is>
      </c>
      <c r="T56" s="20" t="n"/>
      <c r="U56" s="20" t="n"/>
      <c r="V56" s="20" t="n"/>
      <c r="W56" s="20" t="n"/>
      <c r="X56" s="20" t="n"/>
      <c r="Y56" s="17" t="inlineStr"/>
      <c r="Z56" s="20" t="inlineStr">
        <is>
          <t>x</t>
        </is>
      </c>
      <c r="AA56" s="20" t="inlineStr">
        <is>
          <t>x</t>
        </is>
      </c>
      <c r="AB56" s="20" t="n"/>
      <c r="AC56" s="17" t="inlineStr">
        <is>
          <t>Alla</t>
        </is>
      </c>
      <c r="AD56" s="18" t="inlineStr">
        <is>
          <t>Prototyp 2 Spelarkortet, avslut efter Uppvärmning + bollkontroll</t>
        </is>
      </c>
      <c r="AE56" s="18" t="inlineStr"/>
    </row>
    <row r="57">
      <c r="A57" s="17" t="inlineStr">
        <is>
          <t>avslut-straffar</t>
        </is>
      </c>
      <c r="B57" s="18" t="inlineStr">
        <is>
          <t>Avslut: straffar mot föräldern</t>
        </is>
      </c>
      <c r="C57" s="18" t="inlineStr">
        <is>
          <t>Fem straffar var. Den som gör flest mål väljer kvällens efterrätt.</t>
        </is>
      </c>
      <c r="D57" s="17" t="inlineStr">
        <is>
          <t>Övning</t>
        </is>
      </c>
      <c r="E57" s="19" t="n"/>
      <c r="F57" s="19" t="n"/>
      <c r="G57" s="17" t="inlineStr">
        <is>
          <t>Avslut</t>
        </is>
      </c>
      <c r="H57" s="17" t="inlineStr">
        <is>
          <t>Teknik</t>
        </is>
      </c>
      <c r="I57" s="18" t="inlineStr">
        <is>
          <t>Avslut</t>
        </is>
      </c>
      <c r="J57" s="17" t="inlineStr">
        <is>
          <t>2 Touchmästare</t>
        </is>
      </c>
      <c r="K57" s="17" t="inlineStr"/>
      <c r="L57" s="19" t="n"/>
      <c r="M57" s="19" t="n"/>
      <c r="N57" s="20" t="inlineStr">
        <is>
          <t>Nej</t>
        </is>
      </c>
      <c r="O57" s="19" t="n">
        <v>7</v>
      </c>
      <c r="P57" s="19" t="n">
        <v>14</v>
      </c>
      <c r="Q57" s="17" t="inlineStr">
        <is>
          <t>Alla</t>
        </is>
      </c>
      <c r="R57" s="17" t="inlineStr">
        <is>
          <t>Alla</t>
        </is>
      </c>
      <c r="S57" s="20" t="inlineStr">
        <is>
          <t>x</t>
        </is>
      </c>
      <c r="T57" s="20" t="n"/>
      <c r="U57" s="20" t="inlineStr">
        <is>
          <t>x</t>
        </is>
      </c>
      <c r="V57" s="20" t="n"/>
      <c r="W57" s="20" t="n"/>
      <c r="X57" s="20" t="n"/>
      <c r="Y57" s="17" t="inlineStr"/>
      <c r="Z57" s="20" t="n"/>
      <c r="AA57" s="20" t="inlineStr">
        <is>
          <t>x</t>
        </is>
      </c>
      <c r="AB57" s="20" t="n"/>
      <c r="AC57" s="17" t="inlineStr">
        <is>
          <t>Alla</t>
        </is>
      </c>
      <c r="AD57" s="18" t="inlineStr">
        <is>
          <t>Prototyp 2 Spelarkortet, avslut efter Passningar</t>
        </is>
      </c>
      <c r="AE57" s="18" t="inlineStr"/>
    </row>
    <row r="58">
      <c r="A58" s="17" t="inlineStr">
        <is>
          <t>avslut-en-mot-en</t>
        </is>
      </c>
      <c r="B58" s="18" t="inlineStr">
        <is>
          <t>Avslut: en mot en till konen</t>
        </is>
      </c>
      <c r="C58" s="18" t="inlineStr">
        <is>
          <t>Barnet ska ta sig förbi dig till konen. Bäst av fem.</t>
        </is>
      </c>
      <c r="D58" s="17" t="inlineStr">
        <is>
          <t>Övning</t>
        </is>
      </c>
      <c r="E58" s="19" t="n"/>
      <c r="F58" s="19" t="n"/>
      <c r="G58" s="17" t="inlineStr">
        <is>
          <t>Avslut</t>
        </is>
      </c>
      <c r="H58" s="17" t="inlineStr">
        <is>
          <t>Teknik</t>
        </is>
      </c>
      <c r="I58" s="18" t="inlineStr">
        <is>
          <t>Dribbling &amp; finter</t>
        </is>
      </c>
      <c r="J58" s="17" t="inlineStr">
        <is>
          <t>2 Touchmästare</t>
        </is>
      </c>
      <c r="K58" s="17" t="inlineStr"/>
      <c r="L58" s="19" t="n"/>
      <c r="M58" s="19" t="n"/>
      <c r="N58" s="20" t="inlineStr">
        <is>
          <t>Nej</t>
        </is>
      </c>
      <c r="O58" s="19" t="n">
        <v>7</v>
      </c>
      <c r="P58" s="19" t="n">
        <v>14</v>
      </c>
      <c r="Q58" s="17" t="inlineStr">
        <is>
          <t>Alla</t>
        </is>
      </c>
      <c r="R58" s="17" t="inlineStr">
        <is>
          <t>Alla</t>
        </is>
      </c>
      <c r="S58" s="20" t="inlineStr">
        <is>
          <t>x</t>
        </is>
      </c>
      <c r="T58" s="20" t="inlineStr">
        <is>
          <t>x</t>
        </is>
      </c>
      <c r="U58" s="20" t="n"/>
      <c r="V58" s="20" t="n"/>
      <c r="W58" s="20" t="n"/>
      <c r="X58" s="20" t="n"/>
      <c r="Y58" s="17" t="inlineStr"/>
      <c r="Z58" s="20" t="n"/>
      <c r="AA58" s="20" t="inlineStr">
        <is>
          <t>x</t>
        </is>
      </c>
      <c r="AB58" s="20" t="n"/>
      <c r="AC58" s="17" t="inlineStr">
        <is>
          <t>Alla</t>
        </is>
      </c>
      <c r="AD58" s="18" t="inlineStr">
        <is>
          <t>Prototyp 2 Spelarkortet, avslut efter Dribblingar</t>
        </is>
      </c>
      <c r="AE58" s="18" t="inlineStr"/>
    </row>
    <row r="59">
      <c r="A59" s="17" t="inlineStr">
        <is>
          <t>mall-uppvarmning</t>
        </is>
      </c>
      <c r="B59" s="18" t="inlineStr">
        <is>
          <t>Uppvärmning med boll</t>
        </is>
      </c>
      <c r="C59" s="18" t="inlineStr">
        <is>
          <t>Touch på stället, driv, vändningar.</t>
        </is>
      </c>
      <c r="D59" s="17" t="inlineStr">
        <is>
          <t>Övning</t>
        </is>
      </c>
      <c r="E59" s="19" t="n">
        <v>10</v>
      </c>
      <c r="F59" s="19" t="n"/>
      <c r="G59" s="17" t="inlineStr">
        <is>
          <t>Uppvärmning</t>
        </is>
      </c>
      <c r="H59" s="17" t="inlineStr">
        <is>
          <t>Bollkontroll</t>
        </is>
      </c>
      <c r="I59" s="18" t="inlineStr">
        <is>
          <t>Driv, Jonglering &amp; bollkänsla</t>
        </is>
      </c>
      <c r="J59" s="17" t="inlineStr">
        <is>
          <t>1 Bollkompis</t>
        </is>
      </c>
      <c r="K59" s="17" t="inlineStr"/>
      <c r="L59" s="19" t="n"/>
      <c r="M59" s="19" t="n"/>
      <c r="N59" s="20" t="inlineStr">
        <is>
          <t>Nej</t>
        </is>
      </c>
      <c r="O59" s="19" t="n">
        <v>7</v>
      </c>
      <c r="P59" s="19" t="n">
        <v>14</v>
      </c>
      <c r="Q59" s="17" t="inlineStr">
        <is>
          <t>Alla</t>
        </is>
      </c>
      <c r="R59" s="17" t="inlineStr">
        <is>
          <t>Alla</t>
        </is>
      </c>
      <c r="S59" s="20" t="inlineStr">
        <is>
          <t>x</t>
        </is>
      </c>
      <c r="T59" s="20" t="n"/>
      <c r="U59" s="20" t="n"/>
      <c r="V59" s="20" t="n"/>
      <c r="W59" s="20" t="n"/>
      <c r="X59" s="20" t="n"/>
      <c r="Y59" s="17" t="inlineStr"/>
      <c r="Z59" s="20" t="inlineStr">
        <is>
          <t>x</t>
        </is>
      </c>
      <c r="AA59" s="20" t="inlineStr">
        <is>
          <t>x</t>
        </is>
      </c>
      <c r="AB59" s="20" t="n"/>
      <c r="AC59" s="17" t="inlineStr">
        <is>
          <t>Alla</t>
        </is>
      </c>
      <c r="AD59" s="18" t="inlineStr">
        <is>
          <t>Passmallen i admin (Nytt pass)</t>
        </is>
      </c>
      <c r="AE59" s="18" t="inlineStr"/>
    </row>
    <row r="60">
      <c r="A60" s="17" t="inlineStr">
        <is>
          <t>mall-konbana</t>
        </is>
      </c>
      <c r="B60" s="18" t="inlineStr">
        <is>
          <t>Konbana</t>
        </is>
      </c>
      <c r="C60" s="18" t="inlineStr">
        <is>
          <t>Fem koner, en meter mellan. Tur och retur. Tre försök, medeltiden sparas.</t>
        </is>
      </c>
      <c r="D60" s="17" t="inlineStr">
        <is>
          <t>Bedömning</t>
        </is>
      </c>
      <c r="E60" s="19" t="n">
        <v>6</v>
      </c>
      <c r="F60" s="19" t="n"/>
      <c r="G60" s="17" t="inlineStr">
        <is>
          <t>Huvuddel</t>
        </is>
      </c>
      <c r="H60" s="17" t="inlineStr">
        <is>
          <t>Teknik</t>
        </is>
      </c>
      <c r="I60" s="18" t="inlineStr">
        <is>
          <t>Dribbling &amp; finter</t>
        </is>
      </c>
      <c r="J60" s="17" t="inlineStr">
        <is>
          <t>1 Bollkompis</t>
        </is>
      </c>
      <c r="K60" s="17" t="inlineStr"/>
      <c r="L60" s="19" t="n"/>
      <c r="M60" s="19" t="n"/>
      <c r="N60" s="20" t="inlineStr">
        <is>
          <t>Nej</t>
        </is>
      </c>
      <c r="O60" s="19" t="n">
        <v>7</v>
      </c>
      <c r="P60" s="19" t="n">
        <v>14</v>
      </c>
      <c r="Q60" s="17" t="inlineStr">
        <is>
          <t>Alla</t>
        </is>
      </c>
      <c r="R60" s="17" t="inlineStr">
        <is>
          <t>Alla</t>
        </is>
      </c>
      <c r="S60" s="20" t="inlineStr">
        <is>
          <t>x</t>
        </is>
      </c>
      <c r="T60" s="20" t="inlineStr">
        <is>
          <t>x</t>
        </is>
      </c>
      <c r="U60" s="20" t="n"/>
      <c r="V60" s="20" t="n"/>
      <c r="W60" s="20" t="n"/>
      <c r="X60" s="20" t="n"/>
      <c r="Y60" s="17" t="inlineStr">
        <is>
          <t>Mellan (10×10 m)</t>
        </is>
      </c>
      <c r="Z60" s="20" t="n"/>
      <c r="AA60" s="20" t="inlineStr">
        <is>
          <t>x</t>
        </is>
      </c>
      <c r="AB60" s="20" t="n"/>
      <c r="AC60" s="17" t="inlineStr">
        <is>
          <t>Alla</t>
        </is>
      </c>
      <c r="AD60" s="18" t="inlineStr">
        <is>
          <t>Passmallen i admin (Nytt pass)</t>
        </is>
      </c>
      <c r="AE60" s="18" t="inlineStr"/>
    </row>
    <row r="61">
      <c r="A61" s="17" t="inlineStr">
        <is>
          <t>mall-spel</t>
        </is>
      </c>
      <c r="B61" s="18" t="inlineStr">
        <is>
          <t>Spel med moment</t>
        </is>
      </c>
      <c r="C61" s="18" t="inlineStr">
        <is>
          <t>Använd dagens moment i spelform.</t>
        </is>
      </c>
      <c r="D61" s="17" t="inlineStr">
        <is>
          <t>Övning</t>
        </is>
      </c>
      <c r="E61" s="19" t="n">
        <v>12</v>
      </c>
      <c r="F61" s="19" t="n"/>
      <c r="G61" s="17" t="inlineStr">
        <is>
          <t>Huvuddel</t>
        </is>
      </c>
      <c r="H61" s="17" t="inlineStr">
        <is>
          <t>Teknik</t>
        </is>
      </c>
      <c r="I61" s="18" t="inlineStr"/>
      <c r="J61" s="17" t="inlineStr">
        <is>
          <t>1 Bollkompis</t>
        </is>
      </c>
      <c r="K61" s="17" t="inlineStr"/>
      <c r="L61" s="19" t="n"/>
      <c r="M61" s="19" t="n"/>
      <c r="N61" s="20" t="inlineStr">
        <is>
          <t>Nej</t>
        </is>
      </c>
      <c r="O61" s="19" t="n">
        <v>7</v>
      </c>
      <c r="P61" s="19" t="n">
        <v>14</v>
      </c>
      <c r="Q61" s="17" t="inlineStr">
        <is>
          <t>Alla</t>
        </is>
      </c>
      <c r="R61" s="17" t="inlineStr">
        <is>
          <t>Alla</t>
        </is>
      </c>
      <c r="S61" s="20" t="inlineStr">
        <is>
          <t>x</t>
        </is>
      </c>
      <c r="T61" s="20" t="n"/>
      <c r="U61" s="20" t="n"/>
      <c r="V61" s="20" t="n"/>
      <c r="W61" s="20" t="n"/>
      <c r="X61" s="20" t="n"/>
      <c r="Y61" s="17" t="inlineStr"/>
      <c r="Z61" s="20" t="n"/>
      <c r="AA61" s="20" t="inlineStr">
        <is>
          <t>x</t>
        </is>
      </c>
      <c r="AB61" s="20" t="inlineStr">
        <is>
          <t>x</t>
        </is>
      </c>
      <c r="AC61" s="17" t="inlineStr">
        <is>
          <t>Alla</t>
        </is>
      </c>
      <c r="AD61" s="18" t="inlineStr">
        <is>
          <t>Passmallen i admin (Nytt pass)</t>
        </is>
      </c>
      <c r="AE61" s="18" t="inlineStr"/>
    </row>
    <row r="62">
      <c r="A62" s="21" t="n"/>
      <c r="B62" s="21" t="n"/>
      <c r="C62" s="21" t="n"/>
      <c r="D62" s="21" t="n"/>
      <c r="E62" s="22" t="n"/>
      <c r="F62" s="22" t="n"/>
      <c r="G62" s="21" t="n"/>
      <c r="H62" s="21" t="n"/>
      <c r="I62" s="21" t="n"/>
      <c r="J62" s="21" t="n"/>
      <c r="K62" s="21" t="n"/>
      <c r="L62" s="22" t="n"/>
      <c r="M62" s="22" t="n"/>
      <c r="N62" s="21" t="n"/>
      <c r="O62" s="22" t="n"/>
      <c r="P62" s="22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</row>
    <row r="63">
      <c r="A63" s="21" t="n"/>
      <c r="B63" s="21" t="n"/>
      <c r="C63" s="21" t="n"/>
      <c r="D63" s="21" t="n"/>
      <c r="E63" s="22" t="n"/>
      <c r="F63" s="22" t="n"/>
      <c r="G63" s="21" t="n"/>
      <c r="H63" s="21" t="n"/>
      <c r="I63" s="21" t="n"/>
      <c r="J63" s="21" t="n"/>
      <c r="K63" s="21" t="n"/>
      <c r="L63" s="22" t="n"/>
      <c r="M63" s="22" t="n"/>
      <c r="N63" s="21" t="n"/>
      <c r="O63" s="22" t="n"/>
      <c r="P63" s="22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</row>
    <row r="64">
      <c r="A64" s="21" t="n"/>
      <c r="B64" s="21" t="n"/>
      <c r="C64" s="21" t="n"/>
      <c r="D64" s="21" t="n"/>
      <c r="E64" s="22" t="n"/>
      <c r="F64" s="22" t="n"/>
      <c r="G64" s="21" t="n"/>
      <c r="H64" s="21" t="n"/>
      <c r="I64" s="21" t="n"/>
      <c r="J64" s="21" t="n"/>
      <c r="K64" s="21" t="n"/>
      <c r="L64" s="22" t="n"/>
      <c r="M64" s="22" t="n"/>
      <c r="N64" s="21" t="n"/>
      <c r="O64" s="22" t="n"/>
      <c r="P64" s="22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</row>
    <row r="65">
      <c r="A65" s="21" t="n"/>
      <c r="B65" s="21" t="n"/>
      <c r="C65" s="21" t="n"/>
      <c r="D65" s="21" t="n"/>
      <c r="E65" s="22" t="n"/>
      <c r="F65" s="22" t="n"/>
      <c r="G65" s="21" t="n"/>
      <c r="H65" s="21" t="n"/>
      <c r="I65" s="21" t="n"/>
      <c r="J65" s="21" t="n"/>
      <c r="K65" s="21" t="n"/>
      <c r="L65" s="22" t="n"/>
      <c r="M65" s="22" t="n"/>
      <c r="N65" s="21" t="n"/>
      <c r="O65" s="22" t="n"/>
      <c r="P65" s="22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</row>
    <row r="66">
      <c r="A66" s="21" t="n"/>
      <c r="B66" s="21" t="n"/>
      <c r="C66" s="21" t="n"/>
      <c r="D66" s="21" t="n"/>
      <c r="E66" s="22" t="n"/>
      <c r="F66" s="22" t="n"/>
      <c r="G66" s="21" t="n"/>
      <c r="H66" s="21" t="n"/>
      <c r="I66" s="21" t="n"/>
      <c r="J66" s="21" t="n"/>
      <c r="K66" s="21" t="n"/>
      <c r="L66" s="22" t="n"/>
      <c r="M66" s="22" t="n"/>
      <c r="N66" s="21" t="n"/>
      <c r="O66" s="22" t="n"/>
      <c r="P66" s="22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</row>
    <row r="67">
      <c r="A67" s="21" t="n"/>
      <c r="B67" s="21" t="n"/>
      <c r="C67" s="21" t="n"/>
      <c r="D67" s="21" t="n"/>
      <c r="E67" s="22" t="n"/>
      <c r="F67" s="22" t="n"/>
      <c r="G67" s="21" t="n"/>
      <c r="H67" s="21" t="n"/>
      <c r="I67" s="21" t="n"/>
      <c r="J67" s="21" t="n"/>
      <c r="K67" s="21" t="n"/>
      <c r="L67" s="22" t="n"/>
      <c r="M67" s="22" t="n"/>
      <c r="N67" s="21" t="n"/>
      <c r="O67" s="22" t="n"/>
      <c r="P67" s="22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</row>
    <row r="68">
      <c r="A68" s="21" t="n"/>
      <c r="B68" s="21" t="n"/>
      <c r="C68" s="21" t="n"/>
      <c r="D68" s="21" t="n"/>
      <c r="E68" s="22" t="n"/>
      <c r="F68" s="22" t="n"/>
      <c r="G68" s="21" t="n"/>
      <c r="H68" s="21" t="n"/>
      <c r="I68" s="21" t="n"/>
      <c r="J68" s="21" t="n"/>
      <c r="K68" s="21" t="n"/>
      <c r="L68" s="22" t="n"/>
      <c r="M68" s="22" t="n"/>
      <c r="N68" s="21" t="n"/>
      <c r="O68" s="22" t="n"/>
      <c r="P68" s="22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</row>
    <row r="69">
      <c r="A69" s="21" t="n"/>
      <c r="B69" s="21" t="n"/>
      <c r="C69" s="21" t="n"/>
      <c r="D69" s="21" t="n"/>
      <c r="E69" s="22" t="n"/>
      <c r="F69" s="22" t="n"/>
      <c r="G69" s="21" t="n"/>
      <c r="H69" s="21" t="n"/>
      <c r="I69" s="21" t="n"/>
      <c r="J69" s="21" t="n"/>
      <c r="K69" s="21" t="n"/>
      <c r="L69" s="22" t="n"/>
      <c r="M69" s="22" t="n"/>
      <c r="N69" s="21" t="n"/>
      <c r="O69" s="22" t="n"/>
      <c r="P69" s="22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</row>
    <row r="70">
      <c r="A70" s="21" t="n"/>
      <c r="B70" s="21" t="n"/>
      <c r="C70" s="21" t="n"/>
      <c r="D70" s="21" t="n"/>
      <c r="E70" s="22" t="n"/>
      <c r="F70" s="22" t="n"/>
      <c r="G70" s="21" t="n"/>
      <c r="H70" s="21" t="n"/>
      <c r="I70" s="21" t="n"/>
      <c r="J70" s="21" t="n"/>
      <c r="K70" s="21" t="n"/>
      <c r="L70" s="22" t="n"/>
      <c r="M70" s="22" t="n"/>
      <c r="N70" s="21" t="n"/>
      <c r="O70" s="22" t="n"/>
      <c r="P70" s="22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</row>
    <row r="71">
      <c r="A71" s="21" t="n"/>
      <c r="B71" s="21" t="n"/>
      <c r="C71" s="21" t="n"/>
      <c r="D71" s="21" t="n"/>
      <c r="E71" s="22" t="n"/>
      <c r="F71" s="22" t="n"/>
      <c r="G71" s="21" t="n"/>
      <c r="H71" s="21" t="n"/>
      <c r="I71" s="21" t="n"/>
      <c r="J71" s="21" t="n"/>
      <c r="K71" s="21" t="n"/>
      <c r="L71" s="22" t="n"/>
      <c r="M71" s="22" t="n"/>
      <c r="N71" s="21" t="n"/>
      <c r="O71" s="22" t="n"/>
      <c r="P71" s="22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</row>
    <row r="72">
      <c r="A72" s="21" t="n"/>
      <c r="B72" s="21" t="n"/>
      <c r="C72" s="21" t="n"/>
      <c r="D72" s="21" t="n"/>
      <c r="E72" s="22" t="n"/>
      <c r="F72" s="22" t="n"/>
      <c r="G72" s="21" t="n"/>
      <c r="H72" s="21" t="n"/>
      <c r="I72" s="21" t="n"/>
      <c r="J72" s="21" t="n"/>
      <c r="K72" s="21" t="n"/>
      <c r="L72" s="22" t="n"/>
      <c r="M72" s="22" t="n"/>
      <c r="N72" s="21" t="n"/>
      <c r="O72" s="22" t="n"/>
      <c r="P72" s="22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</row>
    <row r="73">
      <c r="A73" s="21" t="n"/>
      <c r="B73" s="21" t="n"/>
      <c r="C73" s="21" t="n"/>
      <c r="D73" s="21" t="n"/>
      <c r="E73" s="22" t="n"/>
      <c r="F73" s="22" t="n"/>
      <c r="G73" s="21" t="n"/>
      <c r="H73" s="21" t="n"/>
      <c r="I73" s="21" t="n"/>
      <c r="J73" s="21" t="n"/>
      <c r="K73" s="21" t="n"/>
      <c r="L73" s="22" t="n"/>
      <c r="M73" s="22" t="n"/>
      <c r="N73" s="21" t="n"/>
      <c r="O73" s="22" t="n"/>
      <c r="P73" s="22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</row>
    <row r="74">
      <c r="A74" s="21" t="n"/>
      <c r="B74" s="21" t="n"/>
      <c r="C74" s="21" t="n"/>
      <c r="D74" s="21" t="n"/>
      <c r="E74" s="22" t="n"/>
      <c r="F74" s="22" t="n"/>
      <c r="G74" s="21" t="n"/>
      <c r="H74" s="21" t="n"/>
      <c r="I74" s="21" t="n"/>
      <c r="J74" s="21" t="n"/>
      <c r="K74" s="21" t="n"/>
      <c r="L74" s="22" t="n"/>
      <c r="M74" s="22" t="n"/>
      <c r="N74" s="21" t="n"/>
      <c r="O74" s="22" t="n"/>
      <c r="P74" s="22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</row>
    <row r="75">
      <c r="A75" s="21" t="n"/>
      <c r="B75" s="21" t="n"/>
      <c r="C75" s="21" t="n"/>
      <c r="D75" s="21" t="n"/>
      <c r="E75" s="22" t="n"/>
      <c r="F75" s="22" t="n"/>
      <c r="G75" s="21" t="n"/>
      <c r="H75" s="21" t="n"/>
      <c r="I75" s="21" t="n"/>
      <c r="J75" s="21" t="n"/>
      <c r="K75" s="21" t="n"/>
      <c r="L75" s="22" t="n"/>
      <c r="M75" s="22" t="n"/>
      <c r="N75" s="21" t="n"/>
      <c r="O75" s="22" t="n"/>
      <c r="P75" s="22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</row>
    <row r="76">
      <c r="A76" s="21" t="n"/>
      <c r="B76" s="21" t="n"/>
      <c r="C76" s="21" t="n"/>
      <c r="D76" s="21" t="n"/>
      <c r="E76" s="22" t="n"/>
      <c r="F76" s="22" t="n"/>
      <c r="G76" s="21" t="n"/>
      <c r="H76" s="21" t="n"/>
      <c r="I76" s="21" t="n"/>
      <c r="J76" s="21" t="n"/>
      <c r="K76" s="21" t="n"/>
      <c r="L76" s="22" t="n"/>
      <c r="M76" s="22" t="n"/>
      <c r="N76" s="21" t="n"/>
      <c r="O76" s="22" t="n"/>
      <c r="P76" s="22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</row>
    <row r="77">
      <c r="A77" s="21" t="n"/>
      <c r="B77" s="21" t="n"/>
      <c r="C77" s="21" t="n"/>
      <c r="D77" s="21" t="n"/>
      <c r="E77" s="22" t="n"/>
      <c r="F77" s="22" t="n"/>
      <c r="G77" s="21" t="n"/>
      <c r="H77" s="21" t="n"/>
      <c r="I77" s="21" t="n"/>
      <c r="J77" s="21" t="n"/>
      <c r="K77" s="21" t="n"/>
      <c r="L77" s="22" t="n"/>
      <c r="M77" s="22" t="n"/>
      <c r="N77" s="21" t="n"/>
      <c r="O77" s="22" t="n"/>
      <c r="P77" s="22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</row>
    <row r="78">
      <c r="A78" s="21" t="n"/>
      <c r="B78" s="21" t="n"/>
      <c r="C78" s="21" t="n"/>
      <c r="D78" s="21" t="n"/>
      <c r="E78" s="22" t="n"/>
      <c r="F78" s="22" t="n"/>
      <c r="G78" s="21" t="n"/>
      <c r="H78" s="21" t="n"/>
      <c r="I78" s="21" t="n"/>
      <c r="J78" s="21" t="n"/>
      <c r="K78" s="21" t="n"/>
      <c r="L78" s="22" t="n"/>
      <c r="M78" s="22" t="n"/>
      <c r="N78" s="21" t="n"/>
      <c r="O78" s="22" t="n"/>
      <c r="P78" s="22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</row>
    <row r="79">
      <c r="A79" s="21" t="n"/>
      <c r="B79" s="21" t="n"/>
      <c r="C79" s="21" t="n"/>
      <c r="D79" s="21" t="n"/>
      <c r="E79" s="22" t="n"/>
      <c r="F79" s="22" t="n"/>
      <c r="G79" s="21" t="n"/>
      <c r="H79" s="21" t="n"/>
      <c r="I79" s="21" t="n"/>
      <c r="J79" s="21" t="n"/>
      <c r="K79" s="21" t="n"/>
      <c r="L79" s="22" t="n"/>
      <c r="M79" s="22" t="n"/>
      <c r="N79" s="21" t="n"/>
      <c r="O79" s="22" t="n"/>
      <c r="P79" s="22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</row>
    <row r="80">
      <c r="A80" s="21" t="n"/>
      <c r="B80" s="21" t="n"/>
      <c r="C80" s="21" t="n"/>
      <c r="D80" s="21" t="n"/>
      <c r="E80" s="22" t="n"/>
      <c r="F80" s="22" t="n"/>
      <c r="G80" s="21" t="n"/>
      <c r="H80" s="21" t="n"/>
      <c r="I80" s="21" t="n"/>
      <c r="J80" s="21" t="n"/>
      <c r="K80" s="21" t="n"/>
      <c r="L80" s="22" t="n"/>
      <c r="M80" s="22" t="n"/>
      <c r="N80" s="21" t="n"/>
      <c r="O80" s="22" t="n"/>
      <c r="P80" s="22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</row>
    <row r="81">
      <c r="A81" s="21" t="n"/>
      <c r="B81" s="21" t="n"/>
      <c r="C81" s="21" t="n"/>
      <c r="D81" s="21" t="n"/>
      <c r="E81" s="22" t="n"/>
      <c r="F81" s="22" t="n"/>
      <c r="G81" s="21" t="n"/>
      <c r="H81" s="21" t="n"/>
      <c r="I81" s="21" t="n"/>
      <c r="J81" s="21" t="n"/>
      <c r="K81" s="21" t="n"/>
      <c r="L81" s="22" t="n"/>
      <c r="M81" s="22" t="n"/>
      <c r="N81" s="21" t="n"/>
      <c r="O81" s="22" t="n"/>
      <c r="P81" s="22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</row>
    <row r="82">
      <c r="A82" s="21" t="n"/>
      <c r="B82" s="21" t="n"/>
      <c r="C82" s="21" t="n"/>
      <c r="D82" s="21" t="n"/>
      <c r="E82" s="22" t="n"/>
      <c r="F82" s="22" t="n"/>
      <c r="G82" s="21" t="n"/>
      <c r="H82" s="21" t="n"/>
      <c r="I82" s="21" t="n"/>
      <c r="J82" s="21" t="n"/>
      <c r="K82" s="21" t="n"/>
      <c r="L82" s="22" t="n"/>
      <c r="M82" s="22" t="n"/>
      <c r="N82" s="21" t="n"/>
      <c r="O82" s="22" t="n"/>
      <c r="P82" s="22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</row>
    <row r="83">
      <c r="A83" s="21" t="n"/>
      <c r="B83" s="21" t="n"/>
      <c r="C83" s="21" t="n"/>
      <c r="D83" s="21" t="n"/>
      <c r="E83" s="22" t="n"/>
      <c r="F83" s="22" t="n"/>
      <c r="G83" s="21" t="n"/>
      <c r="H83" s="21" t="n"/>
      <c r="I83" s="21" t="n"/>
      <c r="J83" s="21" t="n"/>
      <c r="K83" s="21" t="n"/>
      <c r="L83" s="22" t="n"/>
      <c r="M83" s="22" t="n"/>
      <c r="N83" s="21" t="n"/>
      <c r="O83" s="22" t="n"/>
      <c r="P83" s="22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</row>
    <row r="84">
      <c r="A84" s="21" t="n"/>
      <c r="B84" s="21" t="n"/>
      <c r="C84" s="21" t="n"/>
      <c r="D84" s="21" t="n"/>
      <c r="E84" s="22" t="n"/>
      <c r="F84" s="22" t="n"/>
      <c r="G84" s="21" t="n"/>
      <c r="H84" s="21" t="n"/>
      <c r="I84" s="21" t="n"/>
      <c r="J84" s="21" t="n"/>
      <c r="K84" s="21" t="n"/>
      <c r="L84" s="22" t="n"/>
      <c r="M84" s="22" t="n"/>
      <c r="N84" s="21" t="n"/>
      <c r="O84" s="22" t="n"/>
      <c r="P84" s="22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</row>
    <row r="85">
      <c r="A85" s="21" t="n"/>
      <c r="B85" s="21" t="n"/>
      <c r="C85" s="21" t="n"/>
      <c r="D85" s="21" t="n"/>
      <c r="E85" s="22" t="n"/>
      <c r="F85" s="22" t="n"/>
      <c r="G85" s="21" t="n"/>
      <c r="H85" s="21" t="n"/>
      <c r="I85" s="21" t="n"/>
      <c r="J85" s="21" t="n"/>
      <c r="K85" s="21" t="n"/>
      <c r="L85" s="22" t="n"/>
      <c r="M85" s="22" t="n"/>
      <c r="N85" s="21" t="n"/>
      <c r="O85" s="22" t="n"/>
      <c r="P85" s="22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</row>
    <row r="86">
      <c r="A86" s="21" t="n"/>
      <c r="B86" s="21" t="n"/>
      <c r="C86" s="21" t="n"/>
      <c r="D86" s="21" t="n"/>
      <c r="E86" s="22" t="n"/>
      <c r="F86" s="22" t="n"/>
      <c r="G86" s="21" t="n"/>
      <c r="H86" s="21" t="n"/>
      <c r="I86" s="21" t="n"/>
      <c r="J86" s="21" t="n"/>
      <c r="K86" s="21" t="n"/>
      <c r="L86" s="22" t="n"/>
      <c r="M86" s="22" t="n"/>
      <c r="N86" s="21" t="n"/>
      <c r="O86" s="22" t="n"/>
      <c r="P86" s="22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</row>
    <row r="87">
      <c r="A87" s="21" t="n"/>
      <c r="B87" s="21" t="n"/>
      <c r="C87" s="21" t="n"/>
      <c r="D87" s="21" t="n"/>
      <c r="E87" s="22" t="n"/>
      <c r="F87" s="22" t="n"/>
      <c r="G87" s="21" t="n"/>
      <c r="H87" s="21" t="n"/>
      <c r="I87" s="21" t="n"/>
      <c r="J87" s="21" t="n"/>
      <c r="K87" s="21" t="n"/>
      <c r="L87" s="22" t="n"/>
      <c r="M87" s="22" t="n"/>
      <c r="N87" s="21" t="n"/>
      <c r="O87" s="22" t="n"/>
      <c r="P87" s="22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</row>
    <row r="88">
      <c r="A88" s="21" t="n"/>
      <c r="B88" s="21" t="n"/>
      <c r="C88" s="21" t="n"/>
      <c r="D88" s="21" t="n"/>
      <c r="E88" s="22" t="n"/>
      <c r="F88" s="22" t="n"/>
      <c r="G88" s="21" t="n"/>
      <c r="H88" s="21" t="n"/>
      <c r="I88" s="21" t="n"/>
      <c r="J88" s="21" t="n"/>
      <c r="K88" s="21" t="n"/>
      <c r="L88" s="22" t="n"/>
      <c r="M88" s="22" t="n"/>
      <c r="N88" s="21" t="n"/>
      <c r="O88" s="22" t="n"/>
      <c r="P88" s="22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</row>
    <row r="89">
      <c r="A89" s="21" t="n"/>
      <c r="B89" s="21" t="n"/>
      <c r="C89" s="21" t="n"/>
      <c r="D89" s="21" t="n"/>
      <c r="E89" s="22" t="n"/>
      <c r="F89" s="22" t="n"/>
      <c r="G89" s="21" t="n"/>
      <c r="H89" s="21" t="n"/>
      <c r="I89" s="21" t="n"/>
      <c r="J89" s="21" t="n"/>
      <c r="K89" s="21" t="n"/>
      <c r="L89" s="22" t="n"/>
      <c r="M89" s="22" t="n"/>
      <c r="N89" s="21" t="n"/>
      <c r="O89" s="22" t="n"/>
      <c r="P89" s="22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</row>
    <row r="90">
      <c r="A90" s="21" t="n"/>
      <c r="B90" s="21" t="n"/>
      <c r="C90" s="21" t="n"/>
      <c r="D90" s="21" t="n"/>
      <c r="E90" s="22" t="n"/>
      <c r="F90" s="22" t="n"/>
      <c r="G90" s="21" t="n"/>
      <c r="H90" s="21" t="n"/>
      <c r="I90" s="21" t="n"/>
      <c r="J90" s="21" t="n"/>
      <c r="K90" s="21" t="n"/>
      <c r="L90" s="22" t="n"/>
      <c r="M90" s="22" t="n"/>
      <c r="N90" s="21" t="n"/>
      <c r="O90" s="22" t="n"/>
      <c r="P90" s="22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</row>
    <row r="91">
      <c r="A91" s="21" t="n"/>
      <c r="B91" s="21" t="n"/>
      <c r="C91" s="21" t="n"/>
      <c r="D91" s="21" t="n"/>
      <c r="E91" s="22" t="n"/>
      <c r="F91" s="22" t="n"/>
      <c r="G91" s="21" t="n"/>
      <c r="H91" s="21" t="n"/>
      <c r="I91" s="21" t="n"/>
      <c r="J91" s="21" t="n"/>
      <c r="K91" s="21" t="n"/>
      <c r="L91" s="22" t="n"/>
      <c r="M91" s="22" t="n"/>
      <c r="N91" s="21" t="n"/>
      <c r="O91" s="22" t="n"/>
      <c r="P91" s="22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</row>
    <row r="92">
      <c r="A92" s="21" t="n"/>
      <c r="B92" s="21" t="n"/>
      <c r="C92" s="21" t="n"/>
      <c r="D92" s="21" t="n"/>
      <c r="E92" s="22" t="n"/>
      <c r="F92" s="22" t="n"/>
      <c r="G92" s="21" t="n"/>
      <c r="H92" s="21" t="n"/>
      <c r="I92" s="21" t="n"/>
      <c r="J92" s="21" t="n"/>
      <c r="K92" s="21" t="n"/>
      <c r="L92" s="22" t="n"/>
      <c r="M92" s="22" t="n"/>
      <c r="N92" s="21" t="n"/>
      <c r="O92" s="22" t="n"/>
      <c r="P92" s="22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</row>
    <row r="93">
      <c r="A93" s="21" t="n"/>
      <c r="B93" s="21" t="n"/>
      <c r="C93" s="21" t="n"/>
      <c r="D93" s="21" t="n"/>
      <c r="E93" s="22" t="n"/>
      <c r="F93" s="22" t="n"/>
      <c r="G93" s="21" t="n"/>
      <c r="H93" s="21" t="n"/>
      <c r="I93" s="21" t="n"/>
      <c r="J93" s="21" t="n"/>
      <c r="K93" s="21" t="n"/>
      <c r="L93" s="22" t="n"/>
      <c r="M93" s="22" t="n"/>
      <c r="N93" s="21" t="n"/>
      <c r="O93" s="22" t="n"/>
      <c r="P93" s="22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</row>
    <row r="94">
      <c r="A94" s="21" t="n"/>
      <c r="B94" s="21" t="n"/>
      <c r="C94" s="21" t="n"/>
      <c r="D94" s="21" t="n"/>
      <c r="E94" s="22" t="n"/>
      <c r="F94" s="22" t="n"/>
      <c r="G94" s="21" t="n"/>
      <c r="H94" s="21" t="n"/>
      <c r="I94" s="21" t="n"/>
      <c r="J94" s="21" t="n"/>
      <c r="K94" s="21" t="n"/>
      <c r="L94" s="22" t="n"/>
      <c r="M94" s="22" t="n"/>
      <c r="N94" s="21" t="n"/>
      <c r="O94" s="22" t="n"/>
      <c r="P94" s="22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</row>
    <row r="95">
      <c r="A95" s="21" t="n"/>
      <c r="B95" s="21" t="n"/>
      <c r="C95" s="21" t="n"/>
      <c r="D95" s="21" t="n"/>
      <c r="E95" s="22" t="n"/>
      <c r="F95" s="22" t="n"/>
      <c r="G95" s="21" t="n"/>
      <c r="H95" s="21" t="n"/>
      <c r="I95" s="21" t="n"/>
      <c r="J95" s="21" t="n"/>
      <c r="K95" s="21" t="n"/>
      <c r="L95" s="22" t="n"/>
      <c r="M95" s="22" t="n"/>
      <c r="N95" s="21" t="n"/>
      <c r="O95" s="22" t="n"/>
      <c r="P95" s="22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</row>
    <row r="96">
      <c r="A96" s="21" t="n"/>
      <c r="B96" s="21" t="n"/>
      <c r="C96" s="21" t="n"/>
      <c r="D96" s="21" t="n"/>
      <c r="E96" s="22" t="n"/>
      <c r="F96" s="22" t="n"/>
      <c r="G96" s="21" t="n"/>
      <c r="H96" s="21" t="n"/>
      <c r="I96" s="21" t="n"/>
      <c r="J96" s="21" t="n"/>
      <c r="K96" s="21" t="n"/>
      <c r="L96" s="22" t="n"/>
      <c r="M96" s="22" t="n"/>
      <c r="N96" s="21" t="n"/>
      <c r="O96" s="22" t="n"/>
      <c r="P96" s="22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</row>
    <row r="97">
      <c r="A97" s="21" t="n"/>
      <c r="B97" s="21" t="n"/>
      <c r="C97" s="21" t="n"/>
      <c r="D97" s="21" t="n"/>
      <c r="E97" s="22" t="n"/>
      <c r="F97" s="22" t="n"/>
      <c r="G97" s="21" t="n"/>
      <c r="H97" s="21" t="n"/>
      <c r="I97" s="21" t="n"/>
      <c r="J97" s="21" t="n"/>
      <c r="K97" s="21" t="n"/>
      <c r="L97" s="22" t="n"/>
      <c r="M97" s="22" t="n"/>
      <c r="N97" s="21" t="n"/>
      <c r="O97" s="22" t="n"/>
      <c r="P97" s="22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</row>
    <row r="98">
      <c r="A98" s="21" t="n"/>
      <c r="B98" s="21" t="n"/>
      <c r="C98" s="21" t="n"/>
      <c r="D98" s="21" t="n"/>
      <c r="E98" s="22" t="n"/>
      <c r="F98" s="22" t="n"/>
      <c r="G98" s="21" t="n"/>
      <c r="H98" s="21" t="n"/>
      <c r="I98" s="21" t="n"/>
      <c r="J98" s="21" t="n"/>
      <c r="K98" s="21" t="n"/>
      <c r="L98" s="22" t="n"/>
      <c r="M98" s="22" t="n"/>
      <c r="N98" s="21" t="n"/>
      <c r="O98" s="22" t="n"/>
      <c r="P98" s="22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</row>
    <row r="99">
      <c r="A99" s="21" t="n"/>
      <c r="B99" s="21" t="n"/>
      <c r="C99" s="21" t="n"/>
      <c r="D99" s="21" t="n"/>
      <c r="E99" s="22" t="n"/>
      <c r="F99" s="22" t="n"/>
      <c r="G99" s="21" t="n"/>
      <c r="H99" s="21" t="n"/>
      <c r="I99" s="21" t="n"/>
      <c r="J99" s="21" t="n"/>
      <c r="K99" s="21" t="n"/>
      <c r="L99" s="22" t="n"/>
      <c r="M99" s="22" t="n"/>
      <c r="N99" s="21" t="n"/>
      <c r="O99" s="22" t="n"/>
      <c r="P99" s="22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</row>
    <row r="100">
      <c r="A100" s="21" t="n"/>
      <c r="B100" s="21" t="n"/>
      <c r="C100" s="21" t="n"/>
      <c r="D100" s="21" t="n"/>
      <c r="E100" s="22" t="n"/>
      <c r="F100" s="22" t="n"/>
      <c r="G100" s="21" t="n"/>
      <c r="H100" s="21" t="n"/>
      <c r="I100" s="21" t="n"/>
      <c r="J100" s="21" t="n"/>
      <c r="K100" s="21" t="n"/>
      <c r="L100" s="22" t="n"/>
      <c r="M100" s="22" t="n"/>
      <c r="N100" s="21" t="n"/>
      <c r="O100" s="22" t="n"/>
      <c r="P100" s="22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</row>
    <row r="101">
      <c r="A101" s="21" t="n"/>
      <c r="B101" s="21" t="n"/>
      <c r="C101" s="21" t="n"/>
      <c r="D101" s="21" t="n"/>
      <c r="E101" s="22" t="n"/>
      <c r="F101" s="22" t="n"/>
      <c r="G101" s="21" t="n"/>
      <c r="H101" s="21" t="n"/>
      <c r="I101" s="21" t="n"/>
      <c r="J101" s="21" t="n"/>
      <c r="K101" s="21" t="n"/>
      <c r="L101" s="22" t="n"/>
      <c r="M101" s="22" t="n"/>
      <c r="N101" s="21" t="n"/>
      <c r="O101" s="22" t="n"/>
      <c r="P101" s="22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</row>
    <row r="102">
      <c r="A102" s="21" t="n"/>
      <c r="B102" s="21" t="n"/>
      <c r="C102" s="21" t="n"/>
      <c r="D102" s="21" t="n"/>
      <c r="E102" s="22" t="n"/>
      <c r="F102" s="22" t="n"/>
      <c r="G102" s="21" t="n"/>
      <c r="H102" s="21" t="n"/>
      <c r="I102" s="21" t="n"/>
      <c r="J102" s="21" t="n"/>
      <c r="K102" s="21" t="n"/>
      <c r="L102" s="22" t="n"/>
      <c r="M102" s="22" t="n"/>
      <c r="N102" s="21" t="n"/>
      <c r="O102" s="22" t="n"/>
      <c r="P102" s="22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</row>
    <row r="103">
      <c r="A103" s="21" t="n"/>
      <c r="B103" s="21" t="n"/>
      <c r="C103" s="21" t="n"/>
      <c r="D103" s="21" t="n"/>
      <c r="E103" s="22" t="n"/>
      <c r="F103" s="22" t="n"/>
      <c r="G103" s="21" t="n"/>
      <c r="H103" s="21" t="n"/>
      <c r="I103" s="21" t="n"/>
      <c r="J103" s="21" t="n"/>
      <c r="K103" s="21" t="n"/>
      <c r="L103" s="22" t="n"/>
      <c r="M103" s="22" t="n"/>
      <c r="N103" s="21" t="n"/>
      <c r="O103" s="22" t="n"/>
      <c r="P103" s="22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</row>
    <row r="104">
      <c r="A104" s="21" t="n"/>
      <c r="B104" s="21" t="n"/>
      <c r="C104" s="21" t="n"/>
      <c r="D104" s="21" t="n"/>
      <c r="E104" s="22" t="n"/>
      <c r="F104" s="22" t="n"/>
      <c r="G104" s="21" t="n"/>
      <c r="H104" s="21" t="n"/>
      <c r="I104" s="21" t="n"/>
      <c r="J104" s="21" t="n"/>
      <c r="K104" s="21" t="n"/>
      <c r="L104" s="22" t="n"/>
      <c r="M104" s="22" t="n"/>
      <c r="N104" s="21" t="n"/>
      <c r="O104" s="22" t="n"/>
      <c r="P104" s="22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</row>
    <row r="105">
      <c r="A105" s="21" t="n"/>
      <c r="B105" s="21" t="n"/>
      <c r="C105" s="21" t="n"/>
      <c r="D105" s="21" t="n"/>
      <c r="E105" s="22" t="n"/>
      <c r="F105" s="22" t="n"/>
      <c r="G105" s="21" t="n"/>
      <c r="H105" s="21" t="n"/>
      <c r="I105" s="21" t="n"/>
      <c r="J105" s="21" t="n"/>
      <c r="K105" s="21" t="n"/>
      <c r="L105" s="22" t="n"/>
      <c r="M105" s="22" t="n"/>
      <c r="N105" s="21" t="n"/>
      <c r="O105" s="22" t="n"/>
      <c r="P105" s="22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</row>
    <row r="106">
      <c r="A106" s="21" t="n"/>
      <c r="B106" s="21" t="n"/>
      <c r="C106" s="21" t="n"/>
      <c r="D106" s="21" t="n"/>
      <c r="E106" s="22" t="n"/>
      <c r="F106" s="22" t="n"/>
      <c r="G106" s="21" t="n"/>
      <c r="H106" s="21" t="n"/>
      <c r="I106" s="21" t="n"/>
      <c r="J106" s="21" t="n"/>
      <c r="K106" s="21" t="n"/>
      <c r="L106" s="22" t="n"/>
      <c r="M106" s="22" t="n"/>
      <c r="N106" s="21" t="n"/>
      <c r="O106" s="22" t="n"/>
      <c r="P106" s="22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</row>
    <row r="107">
      <c r="A107" s="21" t="n"/>
      <c r="B107" s="21" t="n"/>
      <c r="C107" s="21" t="n"/>
      <c r="D107" s="21" t="n"/>
      <c r="E107" s="22" t="n"/>
      <c r="F107" s="22" t="n"/>
      <c r="G107" s="21" t="n"/>
      <c r="H107" s="21" t="n"/>
      <c r="I107" s="21" t="n"/>
      <c r="J107" s="21" t="n"/>
      <c r="K107" s="21" t="n"/>
      <c r="L107" s="22" t="n"/>
      <c r="M107" s="22" t="n"/>
      <c r="N107" s="21" t="n"/>
      <c r="O107" s="22" t="n"/>
      <c r="P107" s="22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</row>
    <row r="108">
      <c r="A108" s="21" t="n"/>
      <c r="B108" s="21" t="n"/>
      <c r="C108" s="21" t="n"/>
      <c r="D108" s="21" t="n"/>
      <c r="E108" s="22" t="n"/>
      <c r="F108" s="22" t="n"/>
      <c r="G108" s="21" t="n"/>
      <c r="H108" s="21" t="n"/>
      <c r="I108" s="21" t="n"/>
      <c r="J108" s="21" t="n"/>
      <c r="K108" s="21" t="n"/>
      <c r="L108" s="22" t="n"/>
      <c r="M108" s="22" t="n"/>
      <c r="N108" s="21" t="n"/>
      <c r="O108" s="22" t="n"/>
      <c r="P108" s="22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</row>
    <row r="109">
      <c r="A109" s="21" t="n"/>
      <c r="B109" s="21" t="n"/>
      <c r="C109" s="21" t="n"/>
      <c r="D109" s="21" t="n"/>
      <c r="E109" s="22" t="n"/>
      <c r="F109" s="22" t="n"/>
      <c r="G109" s="21" t="n"/>
      <c r="H109" s="21" t="n"/>
      <c r="I109" s="21" t="n"/>
      <c r="J109" s="21" t="n"/>
      <c r="K109" s="21" t="n"/>
      <c r="L109" s="22" t="n"/>
      <c r="M109" s="22" t="n"/>
      <c r="N109" s="21" t="n"/>
      <c r="O109" s="22" t="n"/>
      <c r="P109" s="22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</row>
    <row r="110">
      <c r="A110" s="21" t="n"/>
      <c r="B110" s="21" t="n"/>
      <c r="C110" s="21" t="n"/>
      <c r="D110" s="21" t="n"/>
      <c r="E110" s="22" t="n"/>
      <c r="F110" s="22" t="n"/>
      <c r="G110" s="21" t="n"/>
      <c r="H110" s="21" t="n"/>
      <c r="I110" s="21" t="n"/>
      <c r="J110" s="21" t="n"/>
      <c r="K110" s="21" t="n"/>
      <c r="L110" s="22" t="n"/>
      <c r="M110" s="22" t="n"/>
      <c r="N110" s="21" t="n"/>
      <c r="O110" s="22" t="n"/>
      <c r="P110" s="22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</row>
    <row r="111">
      <c r="A111" s="21" t="n"/>
      <c r="B111" s="21" t="n"/>
      <c r="C111" s="21" t="n"/>
      <c r="D111" s="21" t="n"/>
      <c r="E111" s="22" t="n"/>
      <c r="F111" s="22" t="n"/>
      <c r="G111" s="21" t="n"/>
      <c r="H111" s="21" t="n"/>
      <c r="I111" s="21" t="n"/>
      <c r="J111" s="21" t="n"/>
      <c r="K111" s="21" t="n"/>
      <c r="L111" s="22" t="n"/>
      <c r="M111" s="22" t="n"/>
      <c r="N111" s="21" t="n"/>
      <c r="O111" s="22" t="n"/>
      <c r="P111" s="22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</row>
    <row r="112">
      <c r="A112" s="21" t="n"/>
      <c r="B112" s="21" t="n"/>
      <c r="C112" s="21" t="n"/>
      <c r="D112" s="21" t="n"/>
      <c r="E112" s="22" t="n"/>
      <c r="F112" s="22" t="n"/>
      <c r="G112" s="21" t="n"/>
      <c r="H112" s="21" t="n"/>
      <c r="I112" s="21" t="n"/>
      <c r="J112" s="21" t="n"/>
      <c r="K112" s="21" t="n"/>
      <c r="L112" s="22" t="n"/>
      <c r="M112" s="22" t="n"/>
      <c r="N112" s="21" t="n"/>
      <c r="O112" s="22" t="n"/>
      <c r="P112" s="22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</row>
    <row r="113">
      <c r="A113" s="21" t="n"/>
      <c r="B113" s="21" t="n"/>
      <c r="C113" s="21" t="n"/>
      <c r="D113" s="21" t="n"/>
      <c r="E113" s="22" t="n"/>
      <c r="F113" s="22" t="n"/>
      <c r="G113" s="21" t="n"/>
      <c r="H113" s="21" t="n"/>
      <c r="I113" s="21" t="n"/>
      <c r="J113" s="21" t="n"/>
      <c r="K113" s="21" t="n"/>
      <c r="L113" s="22" t="n"/>
      <c r="M113" s="22" t="n"/>
      <c r="N113" s="21" t="n"/>
      <c r="O113" s="22" t="n"/>
      <c r="P113" s="22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</row>
    <row r="114">
      <c r="A114" s="21" t="n"/>
      <c r="B114" s="21" t="n"/>
      <c r="C114" s="21" t="n"/>
      <c r="D114" s="21" t="n"/>
      <c r="E114" s="22" t="n"/>
      <c r="F114" s="22" t="n"/>
      <c r="G114" s="21" t="n"/>
      <c r="H114" s="21" t="n"/>
      <c r="I114" s="21" t="n"/>
      <c r="J114" s="21" t="n"/>
      <c r="K114" s="21" t="n"/>
      <c r="L114" s="22" t="n"/>
      <c r="M114" s="22" t="n"/>
      <c r="N114" s="21" t="n"/>
      <c r="O114" s="22" t="n"/>
      <c r="P114" s="22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</row>
    <row r="115">
      <c r="A115" s="21" t="n"/>
      <c r="B115" s="21" t="n"/>
      <c r="C115" s="21" t="n"/>
      <c r="D115" s="21" t="n"/>
      <c r="E115" s="22" t="n"/>
      <c r="F115" s="22" t="n"/>
      <c r="G115" s="21" t="n"/>
      <c r="H115" s="21" t="n"/>
      <c r="I115" s="21" t="n"/>
      <c r="J115" s="21" t="n"/>
      <c r="K115" s="21" t="n"/>
      <c r="L115" s="22" t="n"/>
      <c r="M115" s="22" t="n"/>
      <c r="N115" s="21" t="n"/>
      <c r="O115" s="22" t="n"/>
      <c r="P115" s="22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</row>
    <row r="116">
      <c r="A116" s="21" t="n"/>
      <c r="B116" s="21" t="n"/>
      <c r="C116" s="21" t="n"/>
      <c r="D116" s="21" t="n"/>
      <c r="E116" s="22" t="n"/>
      <c r="F116" s="22" t="n"/>
      <c r="G116" s="21" t="n"/>
      <c r="H116" s="21" t="n"/>
      <c r="I116" s="21" t="n"/>
      <c r="J116" s="21" t="n"/>
      <c r="K116" s="21" t="n"/>
      <c r="L116" s="22" t="n"/>
      <c r="M116" s="22" t="n"/>
      <c r="N116" s="21" t="n"/>
      <c r="O116" s="22" t="n"/>
      <c r="P116" s="22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</row>
    <row r="117">
      <c r="A117" s="21" t="n"/>
      <c r="B117" s="21" t="n"/>
      <c r="C117" s="21" t="n"/>
      <c r="D117" s="21" t="n"/>
      <c r="E117" s="22" t="n"/>
      <c r="F117" s="22" t="n"/>
      <c r="G117" s="21" t="n"/>
      <c r="H117" s="21" t="n"/>
      <c r="I117" s="21" t="n"/>
      <c r="J117" s="21" t="n"/>
      <c r="K117" s="21" t="n"/>
      <c r="L117" s="22" t="n"/>
      <c r="M117" s="22" t="n"/>
      <c r="N117" s="21" t="n"/>
      <c r="O117" s="22" t="n"/>
      <c r="P117" s="22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</row>
    <row r="118">
      <c r="A118" s="21" t="n"/>
      <c r="B118" s="21" t="n"/>
      <c r="C118" s="21" t="n"/>
      <c r="D118" s="21" t="n"/>
      <c r="E118" s="22" t="n"/>
      <c r="F118" s="22" t="n"/>
      <c r="G118" s="21" t="n"/>
      <c r="H118" s="21" t="n"/>
      <c r="I118" s="21" t="n"/>
      <c r="J118" s="21" t="n"/>
      <c r="K118" s="21" t="n"/>
      <c r="L118" s="22" t="n"/>
      <c r="M118" s="22" t="n"/>
      <c r="N118" s="21" t="n"/>
      <c r="O118" s="22" t="n"/>
      <c r="P118" s="22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</row>
    <row r="119">
      <c r="A119" s="21" t="n"/>
      <c r="B119" s="21" t="n"/>
      <c r="C119" s="21" t="n"/>
      <c r="D119" s="21" t="n"/>
      <c r="E119" s="22" t="n"/>
      <c r="F119" s="22" t="n"/>
      <c r="G119" s="21" t="n"/>
      <c r="H119" s="21" t="n"/>
      <c r="I119" s="21" t="n"/>
      <c r="J119" s="21" t="n"/>
      <c r="K119" s="21" t="n"/>
      <c r="L119" s="22" t="n"/>
      <c r="M119" s="22" t="n"/>
      <c r="N119" s="21" t="n"/>
      <c r="O119" s="22" t="n"/>
      <c r="P119" s="22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</row>
    <row r="120">
      <c r="A120" s="21" t="n"/>
      <c r="B120" s="21" t="n"/>
      <c r="C120" s="21" t="n"/>
      <c r="D120" s="21" t="n"/>
      <c r="E120" s="22" t="n"/>
      <c r="F120" s="22" t="n"/>
      <c r="G120" s="21" t="n"/>
      <c r="H120" s="21" t="n"/>
      <c r="I120" s="21" t="n"/>
      <c r="J120" s="21" t="n"/>
      <c r="K120" s="21" t="n"/>
      <c r="L120" s="22" t="n"/>
      <c r="M120" s="22" t="n"/>
      <c r="N120" s="21" t="n"/>
      <c r="O120" s="22" t="n"/>
      <c r="P120" s="22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</row>
    <row r="121">
      <c r="A121" s="21" t="n"/>
      <c r="B121" s="21" t="n"/>
      <c r="C121" s="21" t="n"/>
      <c r="D121" s="21" t="n"/>
      <c r="E121" s="22" t="n"/>
      <c r="F121" s="22" t="n"/>
      <c r="G121" s="21" t="n"/>
      <c r="H121" s="21" t="n"/>
      <c r="I121" s="21" t="n"/>
      <c r="J121" s="21" t="n"/>
      <c r="K121" s="21" t="n"/>
      <c r="L121" s="22" t="n"/>
      <c r="M121" s="22" t="n"/>
      <c r="N121" s="21" t="n"/>
      <c r="O121" s="22" t="n"/>
      <c r="P121" s="22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</row>
  </sheetData>
  <autoFilter ref="A2:AE61"/>
  <mergeCells count="5">
    <mergeCell ref="A1:J1"/>
    <mergeCell ref="AD1:AE1"/>
    <mergeCell ref="K1:N1"/>
    <mergeCell ref="S1:AC1"/>
    <mergeCell ref="O1:R1"/>
  </mergeCells>
  <conditionalFormatting sqref="N3:N500">
    <cfRule type="cellIs" priority="1" operator="equal" dxfId="0">
      <formula>"Nej"</formula>
    </cfRule>
  </conditionalFormatting>
  <dataValidations count="20">
    <dataValidation sqref="K3:K500" showDropDown="0" showInputMessage="0" showErrorMessage="1" allowBlank="1" errorTitle="Film" error="Välj en film från fliken Filmer. Lägg till nya filmer där först." type="list">
      <formula1>'Filmer'!$A$2:$A$80</formula1>
    </dataValidation>
    <dataValidation sqref="N3:N500" showDropDown="0" showInputMessage="0" showErrorMessage="1" allowBlank="1" errorTitle="Välj i listan" error="Välj ett värde i rullistan." type="list">
      <formula1>"Ja,Nej"</formula1>
    </dataValidation>
    <dataValidation sqref="S3:S500" showDropDown="0" showInputMessage="0" showErrorMessage="1" allowBlank="1" errorTitle="Kryss" error="Skriv x om det stämmer, annars lämna tomt." type="list">
      <formula1>"x"</formula1>
    </dataValidation>
    <dataValidation sqref="T3:T500" showDropDown="0" showInputMessage="0" showErrorMessage="1" allowBlank="1" errorTitle="Kryss" error="Skriv x om det stämmer, annars lämna tomt." type="list">
      <formula1>"x"</formula1>
    </dataValidation>
    <dataValidation sqref="U3:U500" showDropDown="0" showInputMessage="0" showErrorMessage="1" allowBlank="1" errorTitle="Kryss" error="Skriv x om det stämmer, annars lämna tomt." type="list">
      <formula1>"x"</formula1>
    </dataValidation>
    <dataValidation sqref="V3:V500" showDropDown="0" showInputMessage="0" showErrorMessage="1" allowBlank="1" errorTitle="Kryss" error="Skriv x om det stämmer, annars lämna tomt." type="list">
      <formula1>"x"</formula1>
    </dataValidation>
    <dataValidation sqref="W3:W500" showDropDown="0" showInputMessage="0" showErrorMessage="1" allowBlank="1" errorTitle="Kryss" error="Skriv x om det stämmer, annars lämna tomt." type="list">
      <formula1>"x"</formula1>
    </dataValidation>
    <dataValidation sqref="X3:X500" showDropDown="0" showInputMessage="0" showErrorMessage="1" allowBlank="1" errorTitle="Kryss" error="Skriv x om det stämmer, annars lämna tomt." type="list">
      <formula1>"x"</formula1>
    </dataValidation>
    <dataValidation sqref="Z3:Z500" showDropDown="0" showInputMessage="0" showErrorMessage="1" allowBlank="1" errorTitle="Kryss" error="Skriv x om det stämmer, annars lämna tomt." type="list">
      <formula1>"x"</formula1>
    </dataValidation>
    <dataValidation sqref="AA3:AA500" showDropDown="0" showInputMessage="0" showErrorMessage="1" allowBlank="1" errorTitle="Kryss" error="Skriv x om det stämmer, annars lämna tomt." type="list">
      <formula1>"x"</formula1>
    </dataValidation>
    <dataValidation sqref="AB3:AB500" showDropDown="0" showInputMessage="0" showErrorMessage="1" allowBlank="1" errorTitle="Kryss" error="Skriv x om det stämmer, annars lämna tomt." type="list">
      <formula1>"x"</formula1>
    </dataValidation>
    <dataValidation sqref="D3:D500" showDropDown="0" showInputMessage="0" showErrorMessage="1" allowBlank="1" errorTitle="Välj i listan" error="Välj ett värde i rullistan." type="list">
      <formula1>'Taggar'!$A$3:$A$40</formula1>
    </dataValidation>
    <dataValidation sqref="G3:G500" showDropDown="0" showInputMessage="0" showErrorMessage="1" allowBlank="1" errorTitle="Välj i listan" error="Välj ett värde i rullistan." type="list">
      <formula1>'Taggar'!$G$3:$G$40</formula1>
    </dataValidation>
    <dataValidation sqref="H3:H500" showDropDown="0" showInputMessage="0" showErrorMessage="1" allowBlank="1" errorTitle="Välj i listan" error="Välj ett värde i rullistan." type="list">
      <formula1>'Taggar'!$E$3:$E$40</formula1>
    </dataValidation>
    <dataValidation sqref="I3:I500" showDropDown="0" showInputMessage="0" showErrorMessage="0" allowBlank="1" errorTitle="Välj i listan" error="Välj ett värde i rullistan." type="list">
      <formula1>'Taggar'!$F$3:$F$40</formula1>
    </dataValidation>
    <dataValidation sqref="J3:J500" showDropDown="0" showInputMessage="0" showErrorMessage="1" allowBlank="1" errorTitle="Välj i listan" error="Välj ett värde i rullistan." type="list">
      <formula1>'Taggar'!$H$3:$H$40</formula1>
    </dataValidation>
    <dataValidation sqref="Q3:Q500" showDropDown="0" showInputMessage="0" showErrorMessage="0" allowBlank="1" errorTitle="Välj i listan" error="Välj ett värde i rullistan." type="list">
      <formula1>'Taggar'!$C$3:$C$40</formula1>
    </dataValidation>
    <dataValidation sqref="R3:R500" showDropDown="0" showInputMessage="0" showErrorMessage="0" allowBlank="1" errorTitle="Välj i listan" error="Välj ett värde i rullistan." type="list">
      <formula1>'Taggar'!$D$3:$D$40</formula1>
    </dataValidation>
    <dataValidation sqref="Y3:Y500" showDropDown="0" showInputMessage="0" showErrorMessage="1" allowBlank="1" errorTitle="Välj i listan" error="Välj ett värde i rullistan." type="list">
      <formula1>'Taggar'!$J$3:$J$40</formula1>
    </dataValidation>
    <dataValidation sqref="AC3:AC500" showDropDown="0" showInputMessage="0" showErrorMessage="0" allowBlank="1" errorTitle="Välj i listan" error="Välj ett värde i rullistan." type="list">
      <formula1>'Taggar'!$L$3:$L$40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4" customWidth="1" min="4" max="4"/>
    <col width="14" customWidth="1" min="5" max="5"/>
    <col width="25" customWidth="1" min="6" max="6"/>
    <col width="14" customWidth="1" min="7" max="7"/>
    <col width="16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>
      <c r="A1" s="2" t="inlineStr">
        <is>
          <t>Listorna bakom rullistorna på fliken Övningar. Lägg till egna värden under en rubrik, så kommer de med i rullistan (upp till rad 40).</t>
        </is>
      </c>
    </row>
    <row r="2">
      <c r="A2" s="23" t="inlineStr">
        <is>
          <t>Typ</t>
        </is>
      </c>
      <c r="B2" s="23" t="inlineStr">
        <is>
          <t>Ålder</t>
        </is>
      </c>
      <c r="C2" s="23" t="inlineStr">
        <is>
          <t>Nivå</t>
        </is>
      </c>
      <c r="D2" s="23" t="inlineStr">
        <is>
          <t>Position</t>
        </is>
      </c>
      <c r="E2" s="23" t="inlineStr">
        <is>
          <t>Område</t>
        </is>
      </c>
      <c r="F2" s="23" t="inlineStr">
        <is>
          <t>Färdighet</t>
        </is>
      </c>
      <c r="G2" s="23" t="inlineStr">
        <is>
          <t>Fas i passet</t>
        </is>
      </c>
      <c r="H2" s="23" t="inlineStr">
        <is>
          <t>Svårighet</t>
        </is>
      </c>
      <c r="I2" s="23" t="inlineStr">
        <is>
          <t>Utrustning</t>
        </is>
      </c>
      <c r="J2" s="23" t="inlineStr">
        <is>
          <t>Yta</t>
        </is>
      </c>
      <c r="K2" s="23" t="inlineStr">
        <is>
          <t>Sällskap</t>
        </is>
      </c>
      <c r="L2" s="23" t="inlineStr">
        <is>
          <t>Plats</t>
        </is>
      </c>
    </row>
    <row r="3">
      <c r="A3" s="8" t="inlineStr">
        <is>
          <t>Del av pass</t>
        </is>
      </c>
      <c r="B3" s="8" t="inlineStr">
        <is>
          <t>7–8</t>
        </is>
      </c>
      <c r="C3" s="8" t="inlineStr">
        <is>
          <t>Alla</t>
        </is>
      </c>
      <c r="D3" s="8" t="inlineStr">
        <is>
          <t>Alla</t>
        </is>
      </c>
      <c r="E3" s="8" t="inlineStr">
        <is>
          <t>Bollkontroll</t>
        </is>
      </c>
      <c r="F3" s="8" t="inlineStr">
        <is>
          <t>Första touch</t>
        </is>
      </c>
      <c r="G3" s="8" t="inlineStr">
        <is>
          <t>Uppvärmning</t>
        </is>
      </c>
      <c r="H3" s="8" t="inlineStr">
        <is>
          <t>1 Bollkompis</t>
        </is>
      </c>
      <c r="I3" s="8" t="inlineStr">
        <is>
          <t>Boll</t>
        </is>
      </c>
      <c r="J3" s="8" t="inlineStr">
        <is>
          <t>Liten (5×5 m)</t>
        </is>
      </c>
      <c r="K3" s="8" t="inlineStr">
        <is>
          <t>Ensam</t>
        </is>
      </c>
      <c r="L3" s="8" t="inlineStr">
        <is>
          <t>Alla</t>
        </is>
      </c>
    </row>
    <row r="4">
      <c r="A4" s="8" t="inlineStr">
        <is>
          <t>Specifik färdighet</t>
        </is>
      </c>
      <c r="B4" s="8" t="inlineStr">
        <is>
          <t>9–10</t>
        </is>
      </c>
      <c r="C4" s="8" t="inlineStr">
        <is>
          <t>Nybörjare</t>
        </is>
      </c>
      <c r="D4" s="8" t="inlineStr">
        <is>
          <t>Målvakt</t>
        </is>
      </c>
      <c r="E4" s="8" t="inlineStr">
        <is>
          <t>Teknik</t>
        </is>
      </c>
      <c r="F4" s="8" t="inlineStr">
        <is>
          <t>Driv</t>
        </is>
      </c>
      <c r="G4" s="8" t="inlineStr">
        <is>
          <t>Huvuddel</t>
        </is>
      </c>
      <c r="H4" s="8" t="inlineStr">
        <is>
          <t>2 Touchmästare</t>
        </is>
      </c>
      <c r="I4" s="8" t="inlineStr">
        <is>
          <t>Koner</t>
        </is>
      </c>
      <c r="J4" s="8" t="inlineStr">
        <is>
          <t>Mellan (10×10 m)</t>
        </is>
      </c>
      <c r="K4" s="8" t="inlineStr">
        <is>
          <t>Med förälder</t>
        </is>
      </c>
      <c r="L4" s="8" t="inlineStr">
        <is>
          <t>Utomhus</t>
        </is>
      </c>
    </row>
    <row r="5">
      <c r="A5" s="8" t="inlineStr">
        <is>
          <t>Kunskap</t>
        </is>
      </c>
      <c r="B5" s="8" t="inlineStr">
        <is>
          <t>11–12</t>
        </is>
      </c>
      <c r="C5" s="8" t="inlineStr">
        <is>
          <t>Spelat 1–2 år</t>
        </is>
      </c>
      <c r="D5" s="8" t="inlineStr">
        <is>
          <t>Back</t>
        </is>
      </c>
      <c r="E5" s="8" t="inlineStr">
        <is>
          <t>Koordination</t>
        </is>
      </c>
      <c r="F5" s="8" t="inlineStr">
        <is>
          <t>Vändningar</t>
        </is>
      </c>
      <c r="G5" s="8" t="inlineStr">
        <is>
          <t>Avslut</t>
        </is>
      </c>
      <c r="H5" s="8" t="inlineStr">
        <is>
          <t>3 Dribblare</t>
        </is>
      </c>
      <c r="I5" s="8" t="inlineStr">
        <is>
          <t>Mål</t>
        </is>
      </c>
      <c r="J5" s="8" t="inlineStr">
        <is>
          <t>Stor (halvplan)</t>
        </is>
      </c>
      <c r="K5" s="8" t="inlineStr">
        <is>
          <t>Med kompis</t>
        </is>
      </c>
      <c r="L5" s="8" t="inlineStr">
        <is>
          <t>Inomhus</t>
        </is>
      </c>
    </row>
    <row r="6">
      <c r="A6" s="8" t="inlineStr">
        <is>
          <t>Nivåprov</t>
        </is>
      </c>
      <c r="B6" s="8" t="inlineStr">
        <is>
          <t>13–14</t>
        </is>
      </c>
      <c r="C6" s="8" t="inlineStr">
        <is>
          <t>Spelat 3+ år</t>
        </is>
      </c>
      <c r="D6" s="8" t="inlineStr">
        <is>
          <t>Mittfältare</t>
        </is>
      </c>
      <c r="E6" s="8" t="inlineStr">
        <is>
          <t>Kunskap</t>
        </is>
      </c>
      <c r="F6" s="8" t="inlineStr">
        <is>
          <t>Jonglering &amp; bollkänsla</t>
        </is>
      </c>
      <c r="H6" s="8" t="inlineStr">
        <is>
          <t>4 Spelmotor</t>
        </is>
      </c>
      <c r="I6" s="8" t="inlineStr">
        <is>
          <t>Vägg</t>
        </is>
      </c>
      <c r="L6" s="8" t="inlineStr">
        <is>
          <t>Hemma</t>
        </is>
      </c>
    </row>
    <row r="7">
      <c r="D7" s="8" t="inlineStr">
        <is>
          <t>Anfallare</t>
        </is>
      </c>
      <c r="F7" s="8" t="inlineStr">
        <is>
          <t>Passning insida</t>
        </is>
      </c>
      <c r="H7" s="8" t="inlineStr">
        <is>
          <t>5 Matchvinnare</t>
        </is>
      </c>
      <c r="I7" s="8" t="inlineStr">
        <is>
          <t>Medspelare</t>
        </is>
      </c>
    </row>
    <row r="8">
      <c r="F8" s="8" t="inlineStr">
        <is>
          <t>Långa tillslag</t>
        </is>
      </c>
      <c r="I8" s="8" t="inlineStr">
        <is>
          <t>Stege/häckar</t>
        </is>
      </c>
    </row>
    <row r="9">
      <c r="F9" s="8" t="inlineStr">
        <is>
          <t>Avslut</t>
        </is>
      </c>
    </row>
    <row r="10">
      <c r="F10" s="8" t="inlineStr">
        <is>
          <t>Dribbling &amp; finter</t>
        </is>
      </c>
    </row>
    <row r="11">
      <c r="F11" s="8" t="inlineStr">
        <is>
          <t>Nickar</t>
        </is>
      </c>
    </row>
    <row r="12">
      <c r="F12" s="8" t="inlineStr">
        <is>
          <t>Snabba fötter</t>
        </is>
      </c>
    </row>
    <row r="13">
      <c r="F13" s="8" t="inlineStr">
        <is>
          <t>Reaktion</t>
        </is>
      </c>
    </row>
    <row r="14">
      <c r="F14" s="8" t="inlineStr">
        <is>
          <t>Balans</t>
        </is>
      </c>
    </row>
    <row r="15">
      <c r="F15" s="8" t="inlineStr">
        <is>
          <t>Spelförståelse</t>
        </is>
      </c>
    </row>
    <row r="16">
      <c r="F16" s="8" t="inlineStr">
        <is>
          <t>Målvaktsspel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2" customWidth="1" min="2" max="2"/>
    <col width="9" customWidth="1" min="3" max="3"/>
    <col width="12" customWidth="1" min="4" max="4"/>
    <col width="14" customWidth="1" min="5" max="5"/>
    <col width="12" customWidth="1" min="6" max="6"/>
    <col width="52" customWidth="1" min="7" max="7"/>
    <col width="12" customWidth="1" min="8" max="8"/>
    <col width="60" customWidth="1" min="9" max="9"/>
  </cols>
  <sheetData>
    <row r="1" ht="32" customHeight="1">
      <c r="A1" s="15" t="inlineStr">
        <is>
          <t>Film</t>
        </is>
      </c>
      <c r="B1" s="15" t="inlineStr">
        <is>
          <t>Länk (spela upp)</t>
        </is>
      </c>
      <c r="C1" s="15" t="inlineStr">
        <is>
          <t>Längd (s)</t>
        </is>
      </c>
      <c r="D1" s="15" t="inlineStr">
        <is>
          <t>Träningstid (min)</t>
        </is>
      </c>
      <c r="E1" s="15" t="inlineStr">
        <is>
          <t>Område</t>
        </is>
      </c>
      <c r="F1" s="23" t="inlineStr">
        <is>
          <t>Antal moment i banken</t>
        </is>
      </c>
      <c r="G1" s="23" t="inlineStr">
        <is>
          <t>Original i Drive</t>
        </is>
      </c>
      <c r="H1" s="23" t="inlineStr">
        <is>
          <t>Status</t>
        </is>
      </c>
      <c r="I1" s="15" t="inlineStr">
        <is>
          <t>Anteckning</t>
        </is>
      </c>
    </row>
    <row r="2">
      <c r="A2" s="24" t="inlineStr">
        <is>
          <t>Uppvärmning + bollkontroll</t>
        </is>
      </c>
      <c r="B2" s="25" t="inlineStr">
        <is>
          <t>https://8bitcat.github.io/cap-online/media/uppvarmning-bollkontroll.mp4</t>
        </is>
      </c>
      <c r="C2" s="26" t="n">
        <v>66</v>
      </c>
      <c r="D2" s="26" t="n">
        <v>10</v>
      </c>
      <c r="E2" s="26" t="inlineStr">
        <is>
          <t>Bollkontroll</t>
        </is>
      </c>
      <c r="F2" s="27">
        <f>COUNTIF('Övningar'!$K$3:$K$500,A2)</f>
        <v/>
      </c>
      <c r="G2" s="25" t="inlineStr">
        <is>
          <t>https://drive.google.com/file/d/1cue2ZXWEBrFFyDYEyPELCqxWCRMVhY_s/view</t>
        </is>
      </c>
      <c r="H2" s="26" t="inlineStr">
        <is>
          <t>I appen</t>
        </is>
      </c>
      <c r="I2" s="24" t="inlineStr">
        <is>
          <t>Del av CAP-passet. 4 moment med start/slut.</t>
        </is>
      </c>
    </row>
    <row r="3">
      <c r="A3" s="24" t="inlineStr">
        <is>
          <t>Första touch</t>
        </is>
      </c>
      <c r="B3" s="25" t="inlineStr">
        <is>
          <t>https://8bitcat.github.io/cap-online/media/forsta-touch.mp4</t>
        </is>
      </c>
      <c r="C3" s="26" t="n">
        <v>54</v>
      </c>
      <c r="D3" s="26" t="n">
        <v>10</v>
      </c>
      <c r="E3" s="26" t="inlineStr">
        <is>
          <t>Bollkontroll</t>
        </is>
      </c>
      <c r="F3" s="27">
        <f>COUNTIF('Övningar'!$K$3:$K$500,A3)</f>
        <v/>
      </c>
      <c r="G3" s="25" t="inlineStr">
        <is>
          <t>https://drive.google.com/file/d/1Qq-mIfgJarv7BwjPla10wvayAyLlaSbO/view</t>
        </is>
      </c>
      <c r="H3" s="26" t="inlineStr">
        <is>
          <t>I appen</t>
        </is>
      </c>
      <c r="I3" s="24" t="inlineStr">
        <is>
          <t>Del av CAP-passet. 4 moment med start/slut.</t>
        </is>
      </c>
    </row>
    <row r="4">
      <c r="A4" s="24" t="inlineStr">
        <is>
          <t>Passningar</t>
        </is>
      </c>
      <c r="B4" s="25" t="inlineStr">
        <is>
          <t>https://8bitcat.github.io/cap-online/media/passningar.mp4</t>
        </is>
      </c>
      <c r="C4" s="26" t="n">
        <v>32</v>
      </c>
      <c r="D4" s="26" t="n">
        <v>10</v>
      </c>
      <c r="E4" s="26" t="inlineStr">
        <is>
          <t>Teknik</t>
        </is>
      </c>
      <c r="F4" s="27">
        <f>COUNTIF('Övningar'!$K$3:$K$500,A4)</f>
        <v/>
      </c>
      <c r="G4" s="25" t="inlineStr">
        <is>
          <t>https://drive.google.com/file/d/1zejOW-2uw8jAs-PIGPQBjluhKygmM_x5/view</t>
        </is>
      </c>
      <c r="H4" s="26" t="inlineStr">
        <is>
          <t>I appen</t>
        </is>
      </c>
      <c r="I4" s="24" t="inlineStr">
        <is>
          <t>Del av CAP-passet. 3 moment med start/slut.</t>
        </is>
      </c>
    </row>
    <row r="5">
      <c r="A5" s="24" t="inlineStr">
        <is>
          <t>Dribblingar</t>
        </is>
      </c>
      <c r="B5" s="25" t="inlineStr">
        <is>
          <t>https://8bitcat.github.io/cap-online/media/dribblingar.mp4</t>
        </is>
      </c>
      <c r="C5" s="26" t="n">
        <v>49</v>
      </c>
      <c r="D5" s="26" t="n">
        <v>15</v>
      </c>
      <c r="E5" s="26" t="inlineStr">
        <is>
          <t>Teknik</t>
        </is>
      </c>
      <c r="F5" s="27">
        <f>COUNTIF('Övningar'!$K$3:$K$500,A5)</f>
        <v/>
      </c>
      <c r="G5" s="25" t="inlineStr">
        <is>
          <t>https://drive.google.com/file/d/12a3m67s_FwOBBFN5P00lz0Mv7mILYEFJ/view</t>
        </is>
      </c>
      <c r="H5" s="26" t="inlineStr">
        <is>
          <t>I appen</t>
        </is>
      </c>
      <c r="I5" s="24" t="inlineStr">
        <is>
          <t>Del av CAP-passet. 3 moment med start/slut.</t>
        </is>
      </c>
    </row>
    <row r="6">
      <c r="A6" s="24" t="inlineStr">
        <is>
          <t>Koordination</t>
        </is>
      </c>
      <c r="B6" s="25" t="inlineStr">
        <is>
          <t>https://8bitcat.github.io/cap-online/media/koordination.mp4</t>
        </is>
      </c>
      <c r="C6" s="26" t="n">
        <v>54</v>
      </c>
      <c r="D6" s="26" t="n">
        <v>10</v>
      </c>
      <c r="E6" s="26" t="inlineStr">
        <is>
          <t>Koordination</t>
        </is>
      </c>
      <c r="F6" s="27">
        <f>COUNTIF('Övningar'!$K$3:$K$500,A6)</f>
        <v/>
      </c>
      <c r="G6" s="25" t="inlineStr">
        <is>
          <t>https://drive.google.com/file/d/1xHuc5FMzTAQVoExtvHujGWdkIYvPuclM/view</t>
        </is>
      </c>
      <c r="H6" s="26" t="inlineStr">
        <is>
          <t>I appen</t>
        </is>
      </c>
      <c r="I6" s="24" t="inlineStr">
        <is>
          <t>Del av CAP-passet. 5 moment med start/slut.</t>
        </is>
      </c>
    </row>
    <row r="7">
      <c r="A7" s="24" t="inlineStr">
        <is>
          <t>CAP ONLINE – teknik, bollkontroll och koordination</t>
        </is>
      </c>
      <c r="B7" s="26" t="inlineStr"/>
      <c r="C7" s="26" t="n"/>
      <c r="D7" s="26" t="n"/>
      <c r="E7" s="26" t="inlineStr"/>
      <c r="F7" s="27">
        <f>COUNTIF('Övningar'!$K$3:$K$500,A7)</f>
        <v/>
      </c>
      <c r="G7" s="25" t="inlineStr">
        <is>
          <t>https://drive.google.com/file/d/1QRk19keshcHTluFjk6jGoonim_CUAVen/view</t>
        </is>
      </c>
      <c r="H7" s="26" t="inlineStr">
        <is>
          <t>Inte i appen</t>
        </is>
      </c>
      <c r="I7" s="24" t="inlineStr">
        <is>
          <t>Den långa filmen (1,4 GB) i Drive. Inte nedladdad eller klippt än – säg till om den ska in.</t>
        </is>
      </c>
    </row>
    <row r="8">
      <c r="A8" s="24" t="inlineStr">
        <is>
          <t>Exempel: Passningar (upplagd i admin)</t>
        </is>
      </c>
      <c r="B8" s="25" t="inlineStr">
        <is>
          <t>https://8bitcat.github.io/cap-online/media/passningar.mp4</t>
        </is>
      </c>
      <c r="C8" s="26" t="n">
        <v>32</v>
      </c>
      <c r="D8" s="26" t="n">
        <v>10</v>
      </c>
      <c r="E8" s="26" t="inlineStr">
        <is>
          <t>Teknik</t>
        </is>
      </c>
      <c r="F8" s="27">
        <f>COUNTIF('Övningar'!$K$3:$K$500,A8)</f>
        <v/>
      </c>
      <c r="G8" s="26" t="inlineStr"/>
      <c r="H8" s="26" t="inlineStr">
        <is>
          <t>Testfilm</t>
        </is>
      </c>
      <c r="I8" s="24" t="inlineStr">
        <is>
          <t>Upplagd i admin som test, samma klipp som Passningar. Kan tas bort.</t>
        </is>
      </c>
    </row>
    <row r="9">
      <c r="A9" s="21" t="n"/>
      <c r="B9" s="21" t="n"/>
      <c r="C9" s="21" t="n"/>
      <c r="D9" s="21" t="n"/>
      <c r="E9" s="21" t="n"/>
      <c r="F9" s="28">
        <f>IF(A9="","",COUNTIF('Övningar'!$K$3:$K$500,A9))</f>
        <v/>
      </c>
      <c r="G9" s="21" t="n"/>
      <c r="H9" s="21" t="n"/>
      <c r="I9" s="21" t="n"/>
    </row>
    <row r="10">
      <c r="A10" s="21" t="n"/>
      <c r="B10" s="21" t="n"/>
      <c r="C10" s="21" t="n"/>
      <c r="D10" s="21" t="n"/>
      <c r="E10" s="21" t="n"/>
      <c r="F10" s="28">
        <f>IF(A10="","",COUNTIF('Övningar'!$K$3:$K$500,A10))</f>
        <v/>
      </c>
      <c r="G10" s="21" t="n"/>
      <c r="H10" s="21" t="n"/>
      <c r="I10" s="21" t="n"/>
    </row>
    <row r="11">
      <c r="A11" s="21" t="n"/>
      <c r="B11" s="21" t="n"/>
      <c r="C11" s="21" t="n"/>
      <c r="D11" s="21" t="n"/>
      <c r="E11" s="21" t="n"/>
      <c r="F11" s="28">
        <f>IF(A11="","",COUNTIF('Övningar'!$K$3:$K$500,A11))</f>
        <v/>
      </c>
      <c r="G11" s="21" t="n"/>
      <c r="H11" s="21" t="n"/>
      <c r="I11" s="21" t="n"/>
    </row>
    <row r="12">
      <c r="A12" s="21" t="n"/>
      <c r="B12" s="21" t="n"/>
      <c r="C12" s="21" t="n"/>
      <c r="D12" s="21" t="n"/>
      <c r="E12" s="21" t="n"/>
      <c r="F12" s="28">
        <f>IF(A12="","",COUNTIF('Övningar'!$K$3:$K$500,A12))</f>
        <v/>
      </c>
      <c r="G12" s="21" t="n"/>
      <c r="H12" s="21" t="n"/>
      <c r="I12" s="21" t="n"/>
    </row>
    <row r="13">
      <c r="A13" s="21" t="n"/>
      <c r="B13" s="21" t="n"/>
      <c r="C13" s="21" t="n"/>
      <c r="D13" s="21" t="n"/>
      <c r="E13" s="21" t="n"/>
      <c r="F13" s="28">
        <f>IF(A13="","",COUNTIF('Övningar'!$K$3:$K$500,A13))</f>
        <v/>
      </c>
      <c r="G13" s="21" t="n"/>
      <c r="H13" s="21" t="n"/>
      <c r="I13" s="21" t="n"/>
    </row>
    <row r="14">
      <c r="A14" s="21" t="n"/>
      <c r="B14" s="21" t="n"/>
      <c r="C14" s="21" t="n"/>
      <c r="D14" s="21" t="n"/>
      <c r="E14" s="21" t="n"/>
      <c r="F14" s="28">
        <f>IF(A14="","",COUNTIF('Övningar'!$K$3:$K$500,A14))</f>
        <v/>
      </c>
      <c r="G14" s="21" t="n"/>
      <c r="H14" s="21" t="n"/>
      <c r="I14" s="21" t="n"/>
    </row>
    <row r="15">
      <c r="A15" s="21" t="n"/>
      <c r="B15" s="21" t="n"/>
      <c r="C15" s="21" t="n"/>
      <c r="D15" s="21" t="n"/>
      <c r="E15" s="21" t="n"/>
      <c r="F15" s="28">
        <f>IF(A15="","",COUNTIF('Övningar'!$K$3:$K$500,A15))</f>
        <v/>
      </c>
      <c r="G15" s="21" t="n"/>
      <c r="H15" s="21" t="n"/>
      <c r="I15" s="21" t="n"/>
    </row>
    <row r="16">
      <c r="A16" s="21" t="n"/>
      <c r="B16" s="21" t="n"/>
      <c r="C16" s="21" t="n"/>
      <c r="D16" s="21" t="n"/>
      <c r="E16" s="21" t="n"/>
      <c r="F16" s="28">
        <f>IF(A16="","",COUNTIF('Övningar'!$K$3:$K$500,A16))</f>
        <v/>
      </c>
      <c r="G16" s="21" t="n"/>
      <c r="H16" s="21" t="n"/>
      <c r="I16" s="21" t="n"/>
    </row>
    <row r="17">
      <c r="A17" s="21" t="n"/>
      <c r="B17" s="21" t="n"/>
      <c r="C17" s="21" t="n"/>
      <c r="D17" s="21" t="n"/>
      <c r="E17" s="21" t="n"/>
      <c r="F17" s="28">
        <f>IF(A17="","",COUNTIF('Övningar'!$K$3:$K$500,A17))</f>
        <v/>
      </c>
      <c r="G17" s="21" t="n"/>
      <c r="H17" s="21" t="n"/>
      <c r="I17" s="21" t="n"/>
    </row>
    <row r="18">
      <c r="A18" s="21" t="n"/>
      <c r="B18" s="21" t="n"/>
      <c r="C18" s="21" t="n"/>
      <c r="D18" s="21" t="n"/>
      <c r="E18" s="21" t="n"/>
      <c r="F18" s="28">
        <f>IF(A18="","",COUNTIF('Övningar'!$K$3:$K$500,A18))</f>
        <v/>
      </c>
      <c r="G18" s="21" t="n"/>
      <c r="H18" s="21" t="n"/>
      <c r="I18" s="21" t="n"/>
    </row>
    <row r="19">
      <c r="A19" s="21" t="n"/>
      <c r="B19" s="21" t="n"/>
      <c r="C19" s="21" t="n"/>
      <c r="D19" s="21" t="n"/>
      <c r="E19" s="21" t="n"/>
      <c r="F19" s="28">
        <f>IF(A19="","",COUNTIF('Övningar'!$K$3:$K$500,A19))</f>
        <v/>
      </c>
      <c r="G19" s="21" t="n"/>
      <c r="H19" s="21" t="n"/>
      <c r="I19" s="21" t="n"/>
    </row>
    <row r="20">
      <c r="A20" s="21" t="n"/>
      <c r="B20" s="21" t="n"/>
      <c r="C20" s="21" t="n"/>
      <c r="D20" s="21" t="n"/>
      <c r="E20" s="21" t="n"/>
      <c r="F20" s="28">
        <f>IF(A20="","",COUNTIF('Övningar'!$K$3:$K$500,A20))</f>
        <v/>
      </c>
      <c r="G20" s="21" t="n"/>
      <c r="H20" s="21" t="n"/>
      <c r="I20" s="21" t="n"/>
    </row>
    <row r="21">
      <c r="A21" s="21" t="n"/>
      <c r="B21" s="21" t="n"/>
      <c r="C21" s="21" t="n"/>
      <c r="D21" s="21" t="n"/>
      <c r="E21" s="21" t="n"/>
      <c r="F21" s="28">
        <f>IF(A21="","",COUNTIF('Övningar'!$K$3:$K$500,A21))</f>
        <v/>
      </c>
      <c r="G21" s="21" t="n"/>
      <c r="H21" s="21" t="n"/>
      <c r="I21" s="21" t="n"/>
    </row>
    <row r="22">
      <c r="A22" s="21" t="n"/>
      <c r="B22" s="21" t="n"/>
      <c r="C22" s="21" t="n"/>
      <c r="D22" s="21" t="n"/>
      <c r="E22" s="21" t="n"/>
      <c r="F22" s="28">
        <f>IF(A22="","",COUNTIF('Övningar'!$K$3:$K$500,A22))</f>
        <v/>
      </c>
      <c r="G22" s="21" t="n"/>
      <c r="H22" s="21" t="n"/>
      <c r="I22" s="21" t="n"/>
    </row>
    <row r="23">
      <c r="A23" s="21" t="n"/>
      <c r="B23" s="21" t="n"/>
      <c r="C23" s="21" t="n"/>
      <c r="D23" s="21" t="n"/>
      <c r="E23" s="21" t="n"/>
      <c r="F23" s="28">
        <f>IF(A23="","",COUNTIF('Övningar'!$K$3:$K$500,A23))</f>
        <v/>
      </c>
      <c r="G23" s="21" t="n"/>
      <c r="H23" s="21" t="n"/>
      <c r="I23" s="21" t="n"/>
    </row>
    <row r="24">
      <c r="A24" s="21" t="n"/>
      <c r="B24" s="21" t="n"/>
      <c r="C24" s="21" t="n"/>
      <c r="D24" s="21" t="n"/>
      <c r="E24" s="21" t="n"/>
      <c r="F24" s="28">
        <f>IF(A24="","",COUNTIF('Övningar'!$K$3:$K$500,A24))</f>
        <v/>
      </c>
      <c r="G24" s="21" t="n"/>
      <c r="H24" s="21" t="n"/>
      <c r="I24" s="21" t="n"/>
    </row>
    <row r="25">
      <c r="A25" s="21" t="n"/>
      <c r="B25" s="21" t="n"/>
      <c r="C25" s="21" t="n"/>
      <c r="D25" s="21" t="n"/>
      <c r="E25" s="21" t="n"/>
      <c r="F25" s="28">
        <f>IF(A25="","",COUNTIF('Övningar'!$K$3:$K$500,A25))</f>
        <v/>
      </c>
      <c r="G25" s="21" t="n"/>
      <c r="H25" s="21" t="n"/>
      <c r="I25" s="21" t="n"/>
    </row>
    <row r="26">
      <c r="A26" s="21" t="n"/>
      <c r="B26" s="21" t="n"/>
      <c r="C26" s="21" t="n"/>
      <c r="D26" s="21" t="n"/>
      <c r="E26" s="21" t="n"/>
      <c r="F26" s="28">
        <f>IF(A26="","",COUNTIF('Övningar'!$K$3:$K$500,A26))</f>
        <v/>
      </c>
      <c r="G26" s="21" t="n"/>
      <c r="H26" s="21" t="n"/>
      <c r="I26" s="21" t="n"/>
    </row>
    <row r="27">
      <c r="A27" s="21" t="n"/>
      <c r="B27" s="21" t="n"/>
      <c r="C27" s="21" t="n"/>
      <c r="D27" s="21" t="n"/>
      <c r="E27" s="21" t="n"/>
      <c r="F27" s="28">
        <f>IF(A27="","",COUNTIF('Övningar'!$K$3:$K$500,A27))</f>
        <v/>
      </c>
      <c r="G27" s="21" t="n"/>
      <c r="H27" s="21" t="n"/>
      <c r="I27" s="21" t="n"/>
    </row>
    <row r="28">
      <c r="A28" s="21" t="n"/>
      <c r="B28" s="21" t="n"/>
      <c r="C28" s="21" t="n"/>
      <c r="D28" s="21" t="n"/>
      <c r="E28" s="21" t="n"/>
      <c r="F28" s="28">
        <f>IF(A28="","",COUNTIF('Övningar'!$K$3:$K$500,A28))</f>
        <v/>
      </c>
      <c r="G28" s="21" t="n"/>
      <c r="H28" s="21" t="n"/>
      <c r="I28" s="21" t="n"/>
    </row>
    <row r="29">
      <c r="A29" s="21" t="n"/>
      <c r="B29" s="21" t="n"/>
      <c r="C29" s="21" t="n"/>
      <c r="D29" s="21" t="n"/>
      <c r="E29" s="21" t="n"/>
      <c r="F29" s="28">
        <f>IF(A29="","",COUNTIF('Övningar'!$K$3:$K$500,A29))</f>
        <v/>
      </c>
      <c r="G29" s="21" t="n"/>
      <c r="H29" s="21" t="n"/>
      <c r="I29" s="21" t="n"/>
    </row>
    <row r="30">
      <c r="A30" s="21" t="n"/>
      <c r="B30" s="21" t="n"/>
      <c r="C30" s="21" t="n"/>
      <c r="D30" s="21" t="n"/>
      <c r="E30" s="21" t="n"/>
      <c r="F30" s="28">
        <f>IF(A30="","",COUNTIF('Övningar'!$K$3:$K$500,A30))</f>
        <v/>
      </c>
      <c r="G30" s="21" t="n"/>
      <c r="H30" s="21" t="n"/>
      <c r="I30" s="21" t="n"/>
    </row>
    <row r="31">
      <c r="A31" s="21" t="n"/>
      <c r="B31" s="21" t="n"/>
      <c r="C31" s="21" t="n"/>
      <c r="D31" s="21" t="n"/>
      <c r="E31" s="21" t="n"/>
      <c r="F31" s="28">
        <f>IF(A31="","",COUNTIF('Övningar'!$K$3:$K$500,A31))</f>
        <v/>
      </c>
      <c r="G31" s="21" t="n"/>
      <c r="H31" s="21" t="n"/>
      <c r="I31" s="21" t="n"/>
    </row>
    <row r="32">
      <c r="A32" s="21" t="n"/>
      <c r="B32" s="21" t="n"/>
      <c r="C32" s="21" t="n"/>
      <c r="D32" s="21" t="n"/>
      <c r="E32" s="21" t="n"/>
      <c r="F32" s="28">
        <f>IF(A32="","",COUNTIF('Övningar'!$K$3:$K$500,A32))</f>
        <v/>
      </c>
      <c r="G32" s="21" t="n"/>
      <c r="H32" s="21" t="n"/>
      <c r="I32" s="21" t="n"/>
    </row>
    <row r="33">
      <c r="A33" s="21" t="n"/>
      <c r="B33" s="21" t="n"/>
      <c r="C33" s="21" t="n"/>
      <c r="D33" s="21" t="n"/>
      <c r="E33" s="21" t="n"/>
      <c r="F33" s="28">
        <f>IF(A33="","",COUNTIF('Övningar'!$K$3:$K$500,A33))</f>
        <v/>
      </c>
      <c r="G33" s="21" t="n"/>
      <c r="H33" s="21" t="n"/>
      <c r="I33" s="21" t="n"/>
    </row>
    <row r="34">
      <c r="A34" s="21" t="n"/>
      <c r="B34" s="21" t="n"/>
      <c r="C34" s="21" t="n"/>
      <c r="D34" s="21" t="n"/>
      <c r="E34" s="21" t="n"/>
      <c r="F34" s="28">
        <f>IF(A34="","",COUNTIF('Övningar'!$K$3:$K$500,A34))</f>
        <v/>
      </c>
      <c r="G34" s="21" t="n"/>
      <c r="H34" s="21" t="n"/>
      <c r="I34" s="21" t="n"/>
    </row>
    <row r="35">
      <c r="A35" s="21" t="n"/>
      <c r="B35" s="21" t="n"/>
      <c r="C35" s="21" t="n"/>
      <c r="D35" s="21" t="n"/>
      <c r="E35" s="21" t="n"/>
      <c r="F35" s="28">
        <f>IF(A35="","",COUNTIF('Övningar'!$K$3:$K$500,A35))</f>
        <v/>
      </c>
      <c r="G35" s="21" t="n"/>
      <c r="H35" s="21" t="n"/>
      <c r="I35" s="21" t="n"/>
    </row>
    <row r="36">
      <c r="A36" s="21" t="n"/>
      <c r="B36" s="21" t="n"/>
      <c r="C36" s="21" t="n"/>
      <c r="D36" s="21" t="n"/>
      <c r="E36" s="21" t="n"/>
      <c r="F36" s="28">
        <f>IF(A36="","",COUNTIF('Övningar'!$K$3:$K$500,A36))</f>
        <v/>
      </c>
      <c r="G36" s="21" t="n"/>
      <c r="H36" s="21" t="n"/>
      <c r="I36" s="21" t="n"/>
    </row>
    <row r="37">
      <c r="A37" s="21" t="n"/>
      <c r="B37" s="21" t="n"/>
      <c r="C37" s="21" t="n"/>
      <c r="D37" s="21" t="n"/>
      <c r="E37" s="21" t="n"/>
      <c r="F37" s="28">
        <f>IF(A37="","",COUNTIF('Övningar'!$K$3:$K$500,A37))</f>
        <v/>
      </c>
      <c r="G37" s="21" t="n"/>
      <c r="H37" s="21" t="n"/>
      <c r="I37" s="21" t="n"/>
    </row>
    <row r="38">
      <c r="A38" s="21" t="n"/>
      <c r="B38" s="21" t="n"/>
      <c r="C38" s="21" t="n"/>
      <c r="D38" s="21" t="n"/>
      <c r="E38" s="21" t="n"/>
      <c r="F38" s="28">
        <f>IF(A38="","",COUNTIF('Övningar'!$K$3:$K$500,A38))</f>
        <v/>
      </c>
      <c r="G38" s="21" t="n"/>
      <c r="H38" s="21" t="n"/>
      <c r="I38" s="21" t="n"/>
    </row>
    <row r="39">
      <c r="A39" s="21" t="n"/>
      <c r="B39" s="21" t="n"/>
      <c r="C39" s="21" t="n"/>
      <c r="D39" s="21" t="n"/>
      <c r="E39" s="21" t="n"/>
      <c r="F39" s="28">
        <f>IF(A39="","",COUNTIF('Övningar'!$K$3:$K$500,A39))</f>
        <v/>
      </c>
      <c r="G39" s="21" t="n"/>
      <c r="H39" s="21" t="n"/>
      <c r="I39" s="21" t="n"/>
    </row>
    <row r="40">
      <c r="A40" s="21" t="n"/>
      <c r="B40" s="21" t="n"/>
      <c r="C40" s="21" t="n"/>
      <c r="D40" s="21" t="n"/>
      <c r="E40" s="21" t="n"/>
      <c r="F40" s="28">
        <f>IF(A40="","",COUNTIF('Övningar'!$K$3:$K$500,A40))</f>
        <v/>
      </c>
      <c r="G40" s="21" t="n"/>
      <c r="H40" s="21" t="n"/>
      <c r="I40" s="21" t="n"/>
    </row>
    <row r="41">
      <c r="A41" s="21" t="n"/>
      <c r="B41" s="21" t="n"/>
      <c r="C41" s="21" t="n"/>
      <c r="D41" s="21" t="n"/>
      <c r="E41" s="21" t="n"/>
      <c r="F41" s="28">
        <f>IF(A41="","",COUNTIF('Övningar'!$K$3:$K$500,A41))</f>
        <v/>
      </c>
      <c r="G41" s="21" t="n"/>
      <c r="H41" s="21" t="n"/>
      <c r="I41" s="21" t="n"/>
    </row>
    <row r="42">
      <c r="A42" s="21" t="n"/>
      <c r="B42" s="21" t="n"/>
      <c r="C42" s="21" t="n"/>
      <c r="D42" s="21" t="n"/>
      <c r="E42" s="21" t="n"/>
      <c r="F42" s="28">
        <f>IF(A42="","",COUNTIF('Övningar'!$K$3:$K$500,A42))</f>
        <v/>
      </c>
      <c r="G42" s="21" t="n"/>
      <c r="H42" s="21" t="n"/>
      <c r="I42" s="21" t="n"/>
    </row>
    <row r="43">
      <c r="A43" s="21" t="n"/>
      <c r="B43" s="21" t="n"/>
      <c r="C43" s="21" t="n"/>
      <c r="D43" s="21" t="n"/>
      <c r="E43" s="21" t="n"/>
      <c r="F43" s="28">
        <f>IF(A43="","",COUNTIF('Övningar'!$K$3:$K$500,A43))</f>
        <v/>
      </c>
      <c r="G43" s="21" t="n"/>
      <c r="H43" s="21" t="n"/>
      <c r="I43" s="21" t="n"/>
    </row>
    <row r="44">
      <c r="A44" s="21" t="n"/>
      <c r="B44" s="21" t="n"/>
      <c r="C44" s="21" t="n"/>
      <c r="D44" s="21" t="n"/>
      <c r="E44" s="21" t="n"/>
      <c r="F44" s="28">
        <f>IF(A44="","",COUNTIF('Övningar'!$K$3:$K$500,A44))</f>
        <v/>
      </c>
      <c r="G44" s="21" t="n"/>
      <c r="H44" s="21" t="n"/>
      <c r="I44" s="21" t="n"/>
    </row>
    <row r="45">
      <c r="A45" s="21" t="n"/>
      <c r="B45" s="21" t="n"/>
      <c r="C45" s="21" t="n"/>
      <c r="D45" s="21" t="n"/>
      <c r="E45" s="21" t="n"/>
      <c r="F45" s="28">
        <f>IF(A45="","",COUNTIF('Övningar'!$K$3:$K$500,A45))</f>
        <v/>
      </c>
      <c r="G45" s="21" t="n"/>
      <c r="H45" s="21" t="n"/>
      <c r="I45" s="21" t="n"/>
    </row>
    <row r="46">
      <c r="A46" s="21" t="n"/>
      <c r="B46" s="21" t="n"/>
      <c r="C46" s="21" t="n"/>
      <c r="D46" s="21" t="n"/>
      <c r="E46" s="21" t="n"/>
      <c r="F46" s="28">
        <f>IF(A46="","",COUNTIF('Övningar'!$K$3:$K$500,A46))</f>
        <v/>
      </c>
      <c r="G46" s="21" t="n"/>
      <c r="H46" s="21" t="n"/>
      <c r="I46" s="21" t="n"/>
    </row>
    <row r="47">
      <c r="A47" s="21" t="n"/>
      <c r="B47" s="21" t="n"/>
      <c r="C47" s="21" t="n"/>
      <c r="D47" s="21" t="n"/>
      <c r="E47" s="21" t="n"/>
      <c r="F47" s="28">
        <f>IF(A47="","",COUNTIF('Övningar'!$K$3:$K$500,A47))</f>
        <v/>
      </c>
      <c r="G47" s="21" t="n"/>
      <c r="H47" s="21" t="n"/>
      <c r="I47" s="21" t="n"/>
    </row>
    <row r="48">
      <c r="A48" s="21" t="n"/>
      <c r="B48" s="21" t="n"/>
      <c r="C48" s="21" t="n"/>
      <c r="D48" s="21" t="n"/>
      <c r="E48" s="21" t="n"/>
      <c r="F48" s="28">
        <f>IF(A48="","",COUNTIF('Övningar'!$K$3:$K$500,A48))</f>
        <v/>
      </c>
      <c r="G48" s="21" t="n"/>
      <c r="H48" s="21" t="n"/>
      <c r="I48" s="21" t="n"/>
    </row>
    <row r="49">
      <c r="A49" s="21" t="n"/>
      <c r="B49" s="21" t="n"/>
      <c r="C49" s="21" t="n"/>
      <c r="D49" s="21" t="n"/>
      <c r="E49" s="21" t="n"/>
      <c r="F49" s="28">
        <f>IF(A49="","",COUNTIF('Övningar'!$K$3:$K$500,A49))</f>
        <v/>
      </c>
      <c r="G49" s="21" t="n"/>
      <c r="H49" s="21" t="n"/>
      <c r="I49" s="21" t="n"/>
    </row>
    <row r="50">
      <c r="A50" s="21" t="n"/>
      <c r="B50" s="21" t="n"/>
      <c r="C50" s="21" t="n"/>
      <c r="D50" s="21" t="n"/>
      <c r="E50" s="21" t="n"/>
      <c r="F50" s="28">
        <f>IF(A50="","",COUNTIF('Övningar'!$K$3:$K$500,A50))</f>
        <v/>
      </c>
      <c r="G50" s="21" t="n"/>
      <c r="H50" s="21" t="n"/>
      <c r="I50" s="21" t="n"/>
    </row>
    <row r="51">
      <c r="A51" s="21" t="n"/>
      <c r="B51" s="21" t="n"/>
      <c r="C51" s="21" t="n"/>
      <c r="D51" s="21" t="n"/>
      <c r="E51" s="21" t="n"/>
      <c r="F51" s="28">
        <f>IF(A51="","",COUNTIF('Övningar'!$K$3:$K$500,A51))</f>
        <v/>
      </c>
      <c r="G51" s="21" t="n"/>
      <c r="H51" s="21" t="n"/>
      <c r="I51" s="21" t="n"/>
    </row>
    <row r="52">
      <c r="A52" s="21" t="n"/>
      <c r="B52" s="21" t="n"/>
      <c r="C52" s="21" t="n"/>
      <c r="D52" s="21" t="n"/>
      <c r="E52" s="21" t="n"/>
      <c r="F52" s="28">
        <f>IF(A52="","",COUNTIF('Övningar'!$K$3:$K$500,A52))</f>
        <v/>
      </c>
      <c r="G52" s="21" t="n"/>
      <c r="H52" s="21" t="n"/>
      <c r="I52" s="21" t="n"/>
    </row>
    <row r="53">
      <c r="A53" s="21" t="n"/>
      <c r="B53" s="21" t="n"/>
      <c r="C53" s="21" t="n"/>
      <c r="D53" s="21" t="n"/>
      <c r="E53" s="21" t="n"/>
      <c r="F53" s="28">
        <f>IF(A53="","",COUNTIF('Övningar'!$K$3:$K$500,A53))</f>
        <v/>
      </c>
      <c r="G53" s="21" t="n"/>
      <c r="H53" s="21" t="n"/>
      <c r="I53" s="21" t="n"/>
    </row>
    <row r="54">
      <c r="A54" s="21" t="n"/>
      <c r="B54" s="21" t="n"/>
      <c r="C54" s="21" t="n"/>
      <c r="D54" s="21" t="n"/>
      <c r="E54" s="21" t="n"/>
      <c r="F54" s="28">
        <f>IF(A54="","",COUNTIF('Övningar'!$K$3:$K$500,A54))</f>
        <v/>
      </c>
      <c r="G54" s="21" t="n"/>
      <c r="H54" s="21" t="n"/>
      <c r="I54" s="21" t="n"/>
    </row>
    <row r="55">
      <c r="A55" s="21" t="n"/>
      <c r="B55" s="21" t="n"/>
      <c r="C55" s="21" t="n"/>
      <c r="D55" s="21" t="n"/>
      <c r="E55" s="21" t="n"/>
      <c r="F55" s="28">
        <f>IF(A55="","",COUNTIF('Övningar'!$K$3:$K$500,A55))</f>
        <v/>
      </c>
      <c r="G55" s="21" t="n"/>
      <c r="H55" s="21" t="n"/>
      <c r="I55" s="21" t="n"/>
    </row>
    <row r="56">
      <c r="A56" s="21" t="n"/>
      <c r="B56" s="21" t="n"/>
      <c r="C56" s="21" t="n"/>
      <c r="D56" s="21" t="n"/>
      <c r="E56" s="21" t="n"/>
      <c r="F56" s="28">
        <f>IF(A56="","",COUNTIF('Övningar'!$K$3:$K$500,A56))</f>
        <v/>
      </c>
      <c r="G56" s="21" t="n"/>
      <c r="H56" s="21" t="n"/>
      <c r="I56" s="21" t="n"/>
    </row>
    <row r="57">
      <c r="A57" s="21" t="n"/>
      <c r="B57" s="21" t="n"/>
      <c r="C57" s="21" t="n"/>
      <c r="D57" s="21" t="n"/>
      <c r="E57" s="21" t="n"/>
      <c r="F57" s="28">
        <f>IF(A57="","",COUNTIF('Övningar'!$K$3:$K$500,A57))</f>
        <v/>
      </c>
      <c r="G57" s="21" t="n"/>
      <c r="H57" s="21" t="n"/>
      <c r="I57" s="21" t="n"/>
    </row>
    <row r="58">
      <c r="A58" s="21" t="n"/>
      <c r="B58" s="21" t="n"/>
      <c r="C58" s="21" t="n"/>
      <c r="D58" s="21" t="n"/>
      <c r="E58" s="21" t="n"/>
      <c r="F58" s="28">
        <f>IF(A58="","",COUNTIF('Övningar'!$K$3:$K$500,A58))</f>
        <v/>
      </c>
      <c r="G58" s="21" t="n"/>
      <c r="H58" s="21" t="n"/>
      <c r="I58" s="21" t="n"/>
    </row>
    <row r="59">
      <c r="A59" s="21" t="n"/>
      <c r="B59" s="21" t="n"/>
      <c r="C59" s="21" t="n"/>
      <c r="D59" s="21" t="n"/>
      <c r="E59" s="21" t="n"/>
      <c r="F59" s="28">
        <f>IF(A59="","",COUNTIF('Övningar'!$K$3:$K$500,A59))</f>
        <v/>
      </c>
      <c r="G59" s="21" t="n"/>
      <c r="H59" s="21" t="n"/>
      <c r="I59" s="21" t="n"/>
    </row>
    <row r="60">
      <c r="A60" s="21" t="n"/>
      <c r="B60" s="21" t="n"/>
      <c r="C60" s="21" t="n"/>
      <c r="D60" s="21" t="n"/>
      <c r="E60" s="21" t="n"/>
      <c r="F60" s="28">
        <f>IF(A60="","",COUNTIF('Övningar'!$K$3:$K$500,A60))</f>
        <v/>
      </c>
      <c r="G60" s="21" t="n"/>
      <c r="H60" s="21" t="n"/>
      <c r="I60" s="21" t="n"/>
    </row>
    <row r="61">
      <c r="A61" s="21" t="n"/>
      <c r="B61" s="21" t="n"/>
      <c r="C61" s="21" t="n"/>
      <c r="D61" s="21" t="n"/>
      <c r="E61" s="21" t="n"/>
      <c r="F61" s="28">
        <f>IF(A61="","",COUNTIF('Övningar'!$K$3:$K$500,A61))</f>
        <v/>
      </c>
      <c r="G61" s="21" t="n"/>
      <c r="H61" s="21" t="n"/>
      <c r="I61" s="21" t="n"/>
    </row>
    <row r="62">
      <c r="A62" s="21" t="n"/>
      <c r="B62" s="21" t="n"/>
      <c r="C62" s="21" t="n"/>
      <c r="D62" s="21" t="n"/>
      <c r="E62" s="21" t="n"/>
      <c r="F62" s="28">
        <f>IF(A62="","",COUNTIF('Övningar'!$K$3:$K$500,A62))</f>
        <v/>
      </c>
      <c r="G62" s="21" t="n"/>
      <c r="H62" s="21" t="n"/>
      <c r="I62" s="21" t="n"/>
    </row>
    <row r="63">
      <c r="A63" s="21" t="n"/>
      <c r="B63" s="21" t="n"/>
      <c r="C63" s="21" t="n"/>
      <c r="D63" s="21" t="n"/>
      <c r="E63" s="21" t="n"/>
      <c r="F63" s="28">
        <f>IF(A63="","",COUNTIF('Övningar'!$K$3:$K$500,A63))</f>
        <v/>
      </c>
      <c r="G63" s="21" t="n"/>
      <c r="H63" s="21" t="n"/>
      <c r="I63" s="21" t="n"/>
    </row>
    <row r="64">
      <c r="A64" s="21" t="n"/>
      <c r="B64" s="21" t="n"/>
      <c r="C64" s="21" t="n"/>
      <c r="D64" s="21" t="n"/>
      <c r="E64" s="21" t="n"/>
      <c r="F64" s="28">
        <f>IF(A64="","",COUNTIF('Övningar'!$K$3:$K$500,A64))</f>
        <v/>
      </c>
      <c r="G64" s="21" t="n"/>
      <c r="H64" s="21" t="n"/>
      <c r="I64" s="21" t="n"/>
    </row>
    <row r="65">
      <c r="A65" s="21" t="n"/>
      <c r="B65" s="21" t="n"/>
      <c r="C65" s="21" t="n"/>
      <c r="D65" s="21" t="n"/>
      <c r="E65" s="21" t="n"/>
      <c r="F65" s="28">
        <f>IF(A65="","",COUNTIF('Övningar'!$K$3:$K$500,A65))</f>
        <v/>
      </c>
      <c r="G65" s="21" t="n"/>
      <c r="H65" s="21" t="n"/>
      <c r="I65" s="21" t="n"/>
    </row>
    <row r="66">
      <c r="A66" s="21" t="n"/>
      <c r="B66" s="21" t="n"/>
      <c r="C66" s="21" t="n"/>
      <c r="D66" s="21" t="n"/>
      <c r="E66" s="21" t="n"/>
      <c r="F66" s="28">
        <f>IF(A66="","",COUNTIF('Övningar'!$K$3:$K$500,A66))</f>
        <v/>
      </c>
      <c r="G66" s="21" t="n"/>
      <c r="H66" s="21" t="n"/>
      <c r="I66" s="21" t="n"/>
    </row>
    <row r="67">
      <c r="A67" s="21" t="n"/>
      <c r="B67" s="21" t="n"/>
      <c r="C67" s="21" t="n"/>
      <c r="D67" s="21" t="n"/>
      <c r="E67" s="21" t="n"/>
      <c r="F67" s="28">
        <f>IF(A67="","",COUNTIF('Övningar'!$K$3:$K$500,A67))</f>
        <v/>
      </c>
      <c r="G67" s="21" t="n"/>
      <c r="H67" s="21" t="n"/>
      <c r="I67" s="21" t="n"/>
    </row>
    <row r="68">
      <c r="A68" s="21" t="n"/>
      <c r="B68" s="21" t="n"/>
      <c r="C68" s="21" t="n"/>
      <c r="D68" s="21" t="n"/>
      <c r="E68" s="21" t="n"/>
      <c r="F68" s="28">
        <f>IF(A68="","",COUNTIF('Övningar'!$K$3:$K$500,A68))</f>
        <v/>
      </c>
      <c r="G68" s="21" t="n"/>
      <c r="H68" s="21" t="n"/>
      <c r="I68" s="21" t="n"/>
    </row>
    <row r="69">
      <c r="A69" s="21" t="n"/>
      <c r="B69" s="21" t="n"/>
      <c r="C69" s="21" t="n"/>
      <c r="D69" s="21" t="n"/>
      <c r="E69" s="21" t="n"/>
      <c r="F69" s="28">
        <f>IF(A69="","",COUNTIF('Övningar'!$K$3:$K$500,A69))</f>
        <v/>
      </c>
      <c r="G69" s="21" t="n"/>
      <c r="H69" s="21" t="n"/>
      <c r="I69" s="21" t="n"/>
    </row>
    <row r="70">
      <c r="A70" s="21" t="n"/>
      <c r="B70" s="21" t="n"/>
      <c r="C70" s="21" t="n"/>
      <c r="D70" s="21" t="n"/>
      <c r="E70" s="21" t="n"/>
      <c r="F70" s="28">
        <f>IF(A70="","",COUNTIF('Övningar'!$K$3:$K$500,A70))</f>
        <v/>
      </c>
      <c r="G70" s="21" t="n"/>
      <c r="H70" s="21" t="n"/>
      <c r="I70" s="21" t="n"/>
    </row>
    <row r="71">
      <c r="A71" s="21" t="n"/>
      <c r="B71" s="21" t="n"/>
      <c r="C71" s="21" t="n"/>
      <c r="D71" s="21" t="n"/>
      <c r="E71" s="21" t="n"/>
      <c r="F71" s="28">
        <f>IF(A71="","",COUNTIF('Övningar'!$K$3:$K$500,A71))</f>
        <v/>
      </c>
      <c r="G71" s="21" t="n"/>
      <c r="H71" s="21" t="n"/>
      <c r="I71" s="21" t="n"/>
    </row>
    <row r="72">
      <c r="A72" s="21" t="n"/>
      <c r="B72" s="21" t="n"/>
      <c r="C72" s="21" t="n"/>
      <c r="D72" s="21" t="n"/>
      <c r="E72" s="21" t="n"/>
      <c r="F72" s="28">
        <f>IF(A72="","",COUNTIF('Övningar'!$K$3:$K$500,A72))</f>
        <v/>
      </c>
      <c r="G72" s="21" t="n"/>
      <c r="H72" s="21" t="n"/>
      <c r="I72" s="21" t="n"/>
    </row>
    <row r="73">
      <c r="A73" s="21" t="n"/>
      <c r="B73" s="21" t="n"/>
      <c r="C73" s="21" t="n"/>
      <c r="D73" s="21" t="n"/>
      <c r="E73" s="21" t="n"/>
      <c r="F73" s="28">
        <f>IF(A73="","",COUNTIF('Övningar'!$K$3:$K$500,A73))</f>
        <v/>
      </c>
      <c r="G73" s="21" t="n"/>
      <c r="H73" s="21" t="n"/>
      <c r="I73" s="21" t="n"/>
    </row>
    <row r="74">
      <c r="A74" s="21" t="n"/>
      <c r="B74" s="21" t="n"/>
      <c r="C74" s="21" t="n"/>
      <c r="D74" s="21" t="n"/>
      <c r="E74" s="21" t="n"/>
      <c r="F74" s="28">
        <f>IF(A74="","",COUNTIF('Övningar'!$K$3:$K$500,A74))</f>
        <v/>
      </c>
      <c r="G74" s="21" t="n"/>
      <c r="H74" s="21" t="n"/>
      <c r="I74" s="21" t="n"/>
    </row>
    <row r="75">
      <c r="A75" s="21" t="n"/>
      <c r="B75" s="21" t="n"/>
      <c r="C75" s="21" t="n"/>
      <c r="D75" s="21" t="n"/>
      <c r="E75" s="21" t="n"/>
      <c r="F75" s="28">
        <f>IF(A75="","",COUNTIF('Övningar'!$K$3:$K$500,A75))</f>
        <v/>
      </c>
      <c r="G75" s="21" t="n"/>
      <c r="H75" s="21" t="n"/>
      <c r="I75" s="21" t="n"/>
    </row>
    <row r="76">
      <c r="A76" s="21" t="n"/>
      <c r="B76" s="21" t="n"/>
      <c r="C76" s="21" t="n"/>
      <c r="D76" s="21" t="n"/>
      <c r="E76" s="21" t="n"/>
      <c r="F76" s="28">
        <f>IF(A76="","",COUNTIF('Övningar'!$K$3:$K$500,A76))</f>
        <v/>
      </c>
      <c r="G76" s="21" t="n"/>
      <c r="H76" s="21" t="n"/>
      <c r="I76" s="21" t="n"/>
    </row>
    <row r="77">
      <c r="A77" s="21" t="n"/>
      <c r="B77" s="21" t="n"/>
      <c r="C77" s="21" t="n"/>
      <c r="D77" s="21" t="n"/>
      <c r="E77" s="21" t="n"/>
      <c r="F77" s="28">
        <f>IF(A77="","",COUNTIF('Övningar'!$K$3:$K$500,A77))</f>
        <v/>
      </c>
      <c r="G77" s="21" t="n"/>
      <c r="H77" s="21" t="n"/>
      <c r="I77" s="21" t="n"/>
    </row>
    <row r="78">
      <c r="A78" s="21" t="n"/>
      <c r="B78" s="21" t="n"/>
      <c r="C78" s="21" t="n"/>
      <c r="D78" s="21" t="n"/>
      <c r="E78" s="21" t="n"/>
      <c r="F78" s="28">
        <f>IF(A78="","",COUNTIF('Övningar'!$K$3:$K$500,A78))</f>
        <v/>
      </c>
      <c r="G78" s="21" t="n"/>
      <c r="H78" s="21" t="n"/>
      <c r="I78" s="21" t="n"/>
    </row>
    <row r="79">
      <c r="A79" s="21" t="n"/>
      <c r="B79" s="21" t="n"/>
      <c r="C79" s="21" t="n"/>
      <c r="D79" s="21" t="n"/>
      <c r="E79" s="21" t="n"/>
      <c r="F79" s="28">
        <f>IF(A79="","",COUNTIF('Övningar'!$K$3:$K$500,A79))</f>
        <v/>
      </c>
      <c r="G79" s="21" t="n"/>
      <c r="H79" s="21" t="n"/>
      <c r="I79" s="21" t="n"/>
    </row>
    <row r="80">
      <c r="A80" s="21" t="n"/>
      <c r="B80" s="21" t="n"/>
      <c r="C80" s="21" t="n"/>
      <c r="D80" s="21" t="n"/>
      <c r="E80" s="21" t="n"/>
      <c r="F80" s="28">
        <f>IF(A80="","",COUNTIF('Övningar'!$K$3:$K$500,A80))</f>
        <v/>
      </c>
      <c r="G80" s="21" t="n"/>
      <c r="H80" s="21" t="n"/>
      <c r="I80" s="21" t="n"/>
    </row>
  </sheetData>
  <dataValidations count="2">
    <dataValidation sqref="E2:E80" showDropDown="0" showInputMessage="0" showErrorMessage="1" allowBlank="1" errorTitle="Välj i listan" error="Välj ett värde i rullistan." type="list">
      <formula1>'Taggar'!$E$3:$E$40</formula1>
    </dataValidation>
    <dataValidation sqref="H2:H80" showDropDown="0" showInputMessage="0" showErrorMessage="1" allowBlank="1" errorTitle="Välj i listan" error="Välj ett värde i rullistan." type="list">
      <formula1>"I appen,Ny film,Testfilm,Inte i appen"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G7" r:id="rId11"/>
    <hyperlink xmlns:r="http://schemas.openxmlformats.org/officeDocument/2006/relationships" ref="B8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16" customWidth="1" min="4" max="4"/>
    <col width="13" customWidth="1" min="5" max="5"/>
    <col width="26" customWidth="1" min="6" max="6"/>
    <col width="24" customWidth="1" min="7" max="7"/>
    <col width="36" customWidth="1" min="8" max="8"/>
  </cols>
  <sheetData>
    <row r="1" ht="22" customHeight="1">
      <c r="A1" s="23" t="inlineStr">
        <is>
          <t>ID</t>
        </is>
      </c>
      <c r="B1" s="23" t="inlineStr">
        <is>
          <t>Rubrik</t>
        </is>
      </c>
      <c r="C1" s="23" t="inlineStr">
        <is>
          <t>Om vad</t>
        </is>
      </c>
      <c r="D1" s="23" t="inlineStr">
        <is>
          <t>Nivå</t>
        </is>
      </c>
      <c r="E1" s="23" t="inlineStr">
        <is>
          <t>Position</t>
        </is>
      </c>
      <c r="F1" s="23" t="inlineStr">
        <is>
          <t>Status</t>
        </is>
      </c>
      <c r="G1" s="23" t="inlineStr">
        <is>
          <t>Källa i appen</t>
        </is>
      </c>
      <c r="H1" s="15" t="inlineStr">
        <is>
          <t>Anteckning (Haris)</t>
        </is>
      </c>
    </row>
    <row r="2">
      <c r="A2" s="26" t="inlineStr">
        <is>
          <t>n1-regler</t>
        </is>
      </c>
      <c r="B2" s="24" t="inlineStr">
        <is>
          <t>Så funkar fotboll</t>
        </is>
      </c>
      <c r="C2" s="24" t="inlineStr">
        <is>
          <t>Avspark, inkast, hörna och vem som får använda händerna.</t>
        </is>
      </c>
      <c r="D2" s="26" t="inlineStr">
        <is>
          <t>1 Bollkompis</t>
        </is>
      </c>
      <c r="E2" s="26" t="inlineStr">
        <is>
          <t>Alla</t>
        </is>
      </c>
      <c r="F2" s="26" t="inlineStr">
        <is>
          <t>Finns i appen (med quiz)</t>
        </is>
      </c>
      <c r="G2" s="26" t="inlineStr">
        <is>
          <t>Utbildningsvägen nivå 1</t>
        </is>
      </c>
      <c r="H2" s="29" t="n"/>
    </row>
    <row r="3">
      <c r="A3" s="26" t="inlineStr">
        <is>
          <t>n2-titta-upp</t>
        </is>
      </c>
      <c r="B3" s="24" t="inlineStr">
        <is>
          <t>Titta upp</t>
        </is>
      </c>
      <c r="C3" s="24" t="inlineStr">
        <is>
          <t>Varför de bästa spelarna vet vad som händer innan bollen kommer.</t>
        </is>
      </c>
      <c r="D3" s="26" t="inlineStr">
        <is>
          <t>2 Touchmästare</t>
        </is>
      </c>
      <c r="E3" s="26" t="inlineStr">
        <is>
          <t>Alla</t>
        </is>
      </c>
      <c r="F3" s="26" t="inlineStr">
        <is>
          <t>Finns i appen (med quiz)</t>
        </is>
      </c>
      <c r="G3" s="26" t="inlineStr">
        <is>
          <t>Utbildningsvägen nivå 2</t>
        </is>
      </c>
      <c r="H3" s="29" t="n"/>
    </row>
    <row r="4">
      <c r="A4" s="26" t="inlineStr">
        <is>
          <t>n2-kropp</t>
        </is>
      </c>
      <c r="B4" s="24" t="inlineStr">
        <is>
          <t>Mat, sömn och återhämtning</t>
        </is>
      </c>
      <c r="C4" s="24" t="inlineStr">
        <is>
          <t>Det som händer mellan passen avgör hur mycket passen ger.</t>
        </is>
      </c>
      <c r="D4" s="26" t="inlineStr">
        <is>
          <t>2 Touchmästare</t>
        </is>
      </c>
      <c r="E4" s="26" t="inlineStr">
        <is>
          <t>Alla</t>
        </is>
      </c>
      <c r="F4" s="26" t="inlineStr">
        <is>
          <t>Finns i appen (med quiz)</t>
        </is>
      </c>
      <c r="G4" s="26" t="inlineStr">
        <is>
          <t>Utbildningsvägen nivå 2</t>
        </is>
      </c>
      <c r="H4" s="29" t="n"/>
    </row>
    <row r="5">
      <c r="A5" s="26" t="inlineStr">
        <is>
          <t>n2-mv-jobb</t>
        </is>
      </c>
      <c r="B5" s="24" t="inlineStr">
        <is>
          <t>Målvaktens jobb</t>
        </is>
      </c>
      <c r="C5" s="24" t="inlineStr">
        <is>
          <t>Var du står, när du pratar och när du inte får använda händerna.</t>
        </is>
      </c>
      <c r="D5" s="26" t="inlineStr">
        <is>
          <t>2 Touchmästare</t>
        </is>
      </c>
      <c r="E5" s="26" t="inlineStr">
        <is>
          <t>Målvakt</t>
        </is>
      </c>
      <c r="F5" s="26" t="inlineStr">
        <is>
          <t>Finns i appen (med quiz)</t>
        </is>
      </c>
      <c r="G5" s="26" t="inlineStr">
        <is>
          <t>Utbildningsvägen nivå 2</t>
        </is>
      </c>
      <c r="H5" s="29" t="n"/>
    </row>
    <row r="6">
      <c r="A6" s="26" t="inlineStr">
        <is>
          <t>n2-back-jobb</t>
        </is>
      </c>
      <c r="B6" s="24" t="inlineStr">
        <is>
          <t>Backens jobb</t>
        </is>
      </c>
      <c r="C6" s="24" t="inlineStr">
        <is>
          <t>Sakta ner, vinn bollen, starta anfallet.</t>
        </is>
      </c>
      <c r="D6" s="26" t="inlineStr">
        <is>
          <t>2 Touchmästare</t>
        </is>
      </c>
      <c r="E6" s="26" t="inlineStr">
        <is>
          <t>Back</t>
        </is>
      </c>
      <c r="F6" s="26" t="inlineStr">
        <is>
          <t>Finns i appen (med quiz)</t>
        </is>
      </c>
      <c r="G6" s="26" t="inlineStr">
        <is>
          <t>Utbildningsvägen nivå 2</t>
        </is>
      </c>
      <c r="H6" s="29" t="n"/>
    </row>
    <row r="7">
      <c r="A7" s="26" t="inlineStr">
        <is>
          <t>n2-mitt-jobb</t>
        </is>
      </c>
      <c r="B7" s="24" t="inlineStr">
        <is>
          <t>Mittfältarens jobb</t>
        </is>
      </c>
      <c r="C7" s="24" t="inlineStr">
        <is>
          <t>Titta över axeln, första touch framåt, hitta passningen.</t>
        </is>
      </c>
      <c r="D7" s="26" t="inlineStr">
        <is>
          <t>2 Touchmästare</t>
        </is>
      </c>
      <c r="E7" s="26" t="inlineStr">
        <is>
          <t>Mittfältare</t>
        </is>
      </c>
      <c r="F7" s="26" t="inlineStr">
        <is>
          <t>Finns i appen (med quiz)</t>
        </is>
      </c>
      <c r="G7" s="26" t="inlineStr">
        <is>
          <t>Utbildningsvägen nivå 2</t>
        </is>
      </c>
      <c r="H7" s="29" t="n"/>
    </row>
    <row r="8">
      <c r="A8" s="26" t="inlineStr">
        <is>
          <t>n2-anf-jobb</t>
        </is>
      </c>
      <c r="B8" s="24" t="inlineStr">
        <is>
          <t>Anfallarens jobb</t>
        </is>
      </c>
      <c r="C8" s="24" t="inlineStr">
        <is>
          <t>Löpningen, första touchen mot mål och avslutet.</t>
        </is>
      </c>
      <c r="D8" s="26" t="inlineStr">
        <is>
          <t>2 Touchmästare</t>
        </is>
      </c>
      <c r="E8" s="26" t="inlineStr">
        <is>
          <t>Anfallare</t>
        </is>
      </c>
      <c r="F8" s="26" t="inlineStr">
        <is>
          <t>Finns i appen (med quiz)</t>
        </is>
      </c>
      <c r="G8" s="26" t="inlineStr">
        <is>
          <t>Utbildningsvägen nivå 2</t>
        </is>
      </c>
      <c r="H8" s="29" t="n"/>
    </row>
    <row r="9">
      <c r="A9" s="26" t="inlineStr">
        <is>
          <t>n3-lagkamrat</t>
        </is>
      </c>
      <c r="B9" s="24" t="inlineStr">
        <is>
          <t>Att vara en bra lagkamrat</t>
        </is>
      </c>
      <c r="C9" s="24" t="inlineStr">
        <is>
          <t>Det som gör att tränare och kompisar vill ha dig i laget.</t>
        </is>
      </c>
      <c r="D9" s="26" t="inlineStr">
        <is>
          <t>3 Dribblare</t>
        </is>
      </c>
      <c r="E9" s="26" t="inlineStr">
        <is>
          <t>Alla</t>
        </is>
      </c>
      <c r="F9" s="26" t="inlineStr">
        <is>
          <t>Finns i appen (med quiz)</t>
        </is>
      </c>
      <c r="G9" s="26" t="inlineStr">
        <is>
          <t>Utbildningsvägen nivå 3</t>
        </is>
      </c>
      <c r="H9" s="29" t="n"/>
    </row>
    <row r="10">
      <c r="A10" s="26" t="inlineStr">
        <is>
          <t>n3-back-forsta</t>
        </is>
      </c>
      <c r="B10" s="24" t="inlineStr">
        <is>
          <t>Första försvarare</t>
        </is>
      </c>
      <c r="C10" s="24" t="inlineStr">
        <is>
          <t>Press, täckning och när man går in i en duell.</t>
        </is>
      </c>
      <c r="D10" s="26" t="inlineStr">
        <is>
          <t>3 Dribblare</t>
        </is>
      </c>
      <c r="E10" s="26" t="inlineStr">
        <is>
          <t>Back</t>
        </is>
      </c>
      <c r="F10" s="26" t="inlineStr">
        <is>
          <t>Text kommer från Haris</t>
        </is>
      </c>
      <c r="G10" s="26" t="inlineStr">
        <is>
          <t>Utbildningsvägen nivå 3</t>
        </is>
      </c>
      <c r="H10" s="29" t="n"/>
    </row>
    <row r="11">
      <c r="A11" s="26" t="inlineStr">
        <is>
          <t>n4-ytor</t>
        </is>
      </c>
      <c r="B11" s="24" t="inlineStr">
        <is>
          <t>Spelförståelse: ytor och tid</t>
        </is>
      </c>
      <c r="C11" s="24" t="inlineStr">
        <is>
          <t>Var finns platsen, och hur skapar man den?</t>
        </is>
      </c>
      <c r="D11" s="26" t="inlineStr">
        <is>
          <t>4 Spelmotor</t>
        </is>
      </c>
      <c r="E11" s="26" t="inlineStr">
        <is>
          <t>Alla</t>
        </is>
      </c>
      <c r="F11" s="26" t="inlineStr">
        <is>
          <t>Text kommer från Haris</t>
        </is>
      </c>
      <c r="G11" s="26" t="inlineStr">
        <is>
          <t>Utbildningsvägen nivå 4</t>
        </is>
      </c>
      <c r="H11" s="29" t="n"/>
    </row>
    <row r="12">
      <c r="A12" s="26" t="inlineStr">
        <is>
          <t>n4-mv-position</t>
        </is>
      </c>
      <c r="B12" s="24" t="inlineStr">
        <is>
          <t>Positionering i målet</t>
        </is>
      </c>
      <c r="C12" s="24" t="inlineStr">
        <is>
          <t>Vinklar, avstånd och när man går ut.</t>
        </is>
      </c>
      <c r="D12" s="26" t="inlineStr">
        <is>
          <t>4 Spelmotor</t>
        </is>
      </c>
      <c r="E12" s="26" t="inlineStr">
        <is>
          <t>Målvakt</t>
        </is>
      </c>
      <c r="F12" s="26" t="inlineStr">
        <is>
          <t>Text kommer från Haris</t>
        </is>
      </c>
      <c r="G12" s="26" t="inlineStr">
        <is>
          <t>Utbildningsvägen nivå 4</t>
        </is>
      </c>
      <c r="H12" s="29" t="n"/>
    </row>
    <row r="13">
      <c r="A13" s="26" t="inlineStr">
        <is>
          <t>n4-mv-prat</t>
        </is>
      </c>
      <c r="B13" s="24" t="inlineStr">
        <is>
          <t>Kommunikation</t>
        </is>
      </c>
      <c r="C13" s="24" t="inlineStr">
        <is>
          <t>Vad målvakten säger, och när.</t>
        </is>
      </c>
      <c r="D13" s="26" t="inlineStr">
        <is>
          <t>4 Spelmotor</t>
        </is>
      </c>
      <c r="E13" s="26" t="inlineStr">
        <is>
          <t>Målvakt</t>
        </is>
      </c>
      <c r="F13" s="26" t="inlineStr">
        <is>
          <t>Text kommer från Haris</t>
        </is>
      </c>
      <c r="G13" s="26" t="inlineStr">
        <is>
          <t>Utbildningsvägen nivå 4</t>
        </is>
      </c>
      <c r="H13" s="29" t="n"/>
    </row>
    <row r="14">
      <c r="A14" s="26" t="inlineStr">
        <is>
          <t>n4-back-ytor</t>
        </is>
      </c>
      <c r="B14" s="24" t="inlineStr">
        <is>
          <t>Täcka ytor</t>
        </is>
      </c>
      <c r="C14" s="24" t="inlineStr">
        <is>
          <t>Flytta med bollen, håll linjen.</t>
        </is>
      </c>
      <c r="D14" s="26" t="inlineStr">
        <is>
          <t>4 Spelmotor</t>
        </is>
      </c>
      <c r="E14" s="26" t="inlineStr">
        <is>
          <t>Back</t>
        </is>
      </c>
      <c r="F14" s="26" t="inlineStr">
        <is>
          <t>Text kommer från Haris</t>
        </is>
      </c>
      <c r="G14" s="26" t="inlineStr">
        <is>
          <t>Utbildningsvägen nivå 4</t>
        </is>
      </c>
      <c r="H14" s="29" t="n"/>
    </row>
    <row r="15">
      <c r="A15" s="26" t="inlineStr">
        <is>
          <t>n4-mitt-press</t>
        </is>
      </c>
      <c r="B15" s="24" t="inlineStr">
        <is>
          <t>Pressa rätt</t>
        </is>
      </c>
      <c r="C15" s="24" t="inlineStr">
        <is>
          <t>När laget pressar och när det faller tillbaka.</t>
        </is>
      </c>
      <c r="D15" s="26" t="inlineStr">
        <is>
          <t>4 Spelmotor</t>
        </is>
      </c>
      <c r="E15" s="26" t="inlineStr">
        <is>
          <t>Mittfältare</t>
        </is>
      </c>
      <c r="F15" s="26" t="inlineStr">
        <is>
          <t>Text kommer från Haris</t>
        </is>
      </c>
      <c r="G15" s="26" t="inlineStr">
        <is>
          <t>Utbildningsvägen nivå 4</t>
        </is>
      </c>
      <c r="H15" s="29" t="n"/>
    </row>
    <row r="16">
      <c r="A16" s="26" t="inlineStr">
        <is>
          <t>n4-anf-lopvag</t>
        </is>
      </c>
      <c r="B16" s="24" t="inlineStr">
        <is>
          <t>Löpvägar bakom backlinjen</t>
        </is>
      </c>
      <c r="C16" s="24" t="inlineStr">
        <is>
          <t>Tajming, vinkel och offside.</t>
        </is>
      </c>
      <c r="D16" s="26" t="inlineStr">
        <is>
          <t>4 Spelmotor</t>
        </is>
      </c>
      <c r="E16" s="26" t="inlineStr">
        <is>
          <t>Anfallare</t>
        </is>
      </c>
      <c r="F16" s="26" t="inlineStr">
        <is>
          <t>Text kommer från Haris</t>
        </is>
      </c>
      <c r="G16" s="26" t="inlineStr">
        <is>
          <t>Utbildningsvägen nivå 4</t>
        </is>
      </c>
      <c r="H16" s="29" t="n"/>
    </row>
    <row r="17">
      <c r="A17" s="26" t="inlineStr">
        <is>
          <t>n5-mental</t>
        </is>
      </c>
      <c r="B17" s="24" t="inlineStr">
        <is>
          <t>Mental träning: nerver före match</t>
        </is>
      </c>
      <c r="C17" s="24" t="inlineStr">
        <is>
          <t>Andning, rutiner och att tänka på nästa aktion.</t>
        </is>
      </c>
      <c r="D17" s="26" t="inlineStr">
        <is>
          <t>5 Matchvinnare</t>
        </is>
      </c>
      <c r="E17" s="26" t="inlineStr">
        <is>
          <t>Alla</t>
        </is>
      </c>
      <c r="F17" s="26" t="inlineStr">
        <is>
          <t>Text kommer från Haris</t>
        </is>
      </c>
      <c r="G17" s="26" t="inlineStr">
        <is>
          <t>Utbildningsvägen nivå 5</t>
        </is>
      </c>
      <c r="H17" s="29" t="n"/>
    </row>
    <row r="18">
      <c r="A18" s="26" t="inlineStr">
        <is>
          <t>n5-back-lasa</t>
        </is>
      </c>
      <c r="B18" s="24" t="inlineStr">
        <is>
          <t>Läsa spelet</t>
        </is>
      </c>
      <c r="C18" s="24" t="inlineStr">
        <is>
          <t>Se passningen innan den slås.</t>
        </is>
      </c>
      <c r="D18" s="26" t="inlineStr">
        <is>
          <t>5 Matchvinnare</t>
        </is>
      </c>
      <c r="E18" s="26" t="inlineStr">
        <is>
          <t>Back</t>
        </is>
      </c>
      <c r="F18" s="26" t="inlineStr">
        <is>
          <t>Text kommer från Haris</t>
        </is>
      </c>
      <c r="G18" s="26" t="inlineStr">
        <is>
          <t>Utbildningsvägen nivå 5</t>
        </is>
      </c>
      <c r="H18" s="29" t="n"/>
    </row>
    <row r="19">
      <c r="A19" s="26" t="inlineStr">
        <is>
          <t>n5-mitt-dirigera</t>
        </is>
      </c>
      <c r="B19" s="24" t="inlineStr">
        <is>
          <t>Dirigera laget</t>
        </is>
      </c>
      <c r="C19" s="24" t="inlineStr">
        <is>
          <t>Rösten, tempot och ansvaret.</t>
        </is>
      </c>
      <c r="D19" s="26" t="inlineStr">
        <is>
          <t>5 Matchvinnare</t>
        </is>
      </c>
      <c r="E19" s="26" t="inlineStr">
        <is>
          <t>Mittfältare</t>
        </is>
      </c>
      <c r="F19" s="26" t="inlineStr">
        <is>
          <t>Text kommer från Haris</t>
        </is>
      </c>
      <c r="G19" s="26" t="inlineStr">
        <is>
          <t>Utbildningsvägen nivå 5</t>
        </is>
      </c>
      <c r="H19" s="29" t="n"/>
    </row>
  </sheetData>
  <autoFilter ref="A1:H19"/>
  <conditionalFormatting sqref="F2:F19">
    <cfRule type="cellIs" priority="1" operator="equal" dxfId="0">
      <formula>"Text kommer från Haris"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4" customWidth="1" min="4" max="4"/>
    <col width="30" customWidth="1" min="5" max="5"/>
    <col width="16" customWidth="1" min="6" max="6"/>
    <col width="40" customWidth="1" min="7" max="7"/>
  </cols>
  <sheetData>
    <row r="1">
      <c r="A1" s="30" t="inlineStr">
        <is>
          <t>Planera ett pass</t>
        </is>
      </c>
    </row>
    <row r="2">
      <c r="A2" s="2" t="inlineStr">
        <is>
          <t>Välj övningar i rullistan i kolumn B. Tid, fas, film och nivå hämtas från fliken Övningar. Gula celler fyller du i. Kopiera fliken (högerklicka på fliknamnet) för fler pass.</t>
        </is>
      </c>
    </row>
    <row r="4">
      <c r="A4" s="3" t="inlineStr">
        <is>
          <t>Pass</t>
        </is>
      </c>
      <c r="B4" s="31" t="inlineStr">
        <is>
          <t>Pass med Haris</t>
        </is>
      </c>
    </row>
    <row r="5">
      <c r="A5" s="3" t="inlineStr">
        <is>
          <t>Spelare</t>
        </is>
      </c>
      <c r="B5" s="31" t="inlineStr"/>
    </row>
    <row r="6">
      <c r="A6" s="3" t="inlineStr">
        <is>
          <t>Datum</t>
        </is>
      </c>
      <c r="B6" s="32" t="inlineStr"/>
    </row>
    <row r="7">
      <c r="A7" s="3" t="inlineStr">
        <is>
          <t>Riktmärke (min)</t>
        </is>
      </c>
      <c r="B7" s="31" t="n">
        <v>55</v>
      </c>
    </row>
    <row r="9" ht="22" customHeight="1">
      <c r="A9" s="23" t="inlineStr">
        <is>
          <t>#</t>
        </is>
      </c>
      <c r="B9" s="15" t="inlineStr">
        <is>
          <t>Övning</t>
        </is>
      </c>
      <c r="C9" s="23" t="inlineStr">
        <is>
          <t>Tid (min)</t>
        </is>
      </c>
      <c r="D9" s="23" t="inlineStr">
        <is>
          <t>Fas i passet</t>
        </is>
      </c>
      <c r="E9" s="23" t="inlineStr">
        <is>
          <t>Film</t>
        </is>
      </c>
      <c r="F9" s="23" t="inlineStr">
        <is>
          <t>Nivå (1–5)</t>
        </is>
      </c>
      <c r="G9" s="15" t="inlineStr">
        <is>
          <t>Anteckning</t>
        </is>
      </c>
    </row>
    <row r="10">
      <c r="A10" s="20" t="n">
        <v>1</v>
      </c>
      <c r="B10" s="33" t="inlineStr">
        <is>
          <t>Bollkänsla och första driv</t>
        </is>
      </c>
      <c r="C10" s="19">
        <f>IF($B10="","",IFERROR(INDEX('Övningar'!$E$3:$E$500,MATCH($B10,'Övningar'!$B$3:$B$500,0)),""))</f>
        <v/>
      </c>
      <c r="D10" s="17">
        <f>IF($B10="","",IFERROR(INDEX('Övningar'!$G$3:$G$500,MATCH($B10,'Övningar'!$B$3:$B$500,0)),""))</f>
        <v/>
      </c>
      <c r="E10" s="18">
        <f>IF($B10="","",IFERROR(INDEX('Övningar'!$K$3:$K$500,MATCH($B10,'Övningar'!$B$3:$B$500,0)),""))</f>
        <v/>
      </c>
      <c r="F10" s="17">
        <f>IF($B10="","",IFERROR(INDEX('Övningar'!$J$3:$J$500,MATCH($B10,'Övningar'!$B$3:$B$500,0)),""))</f>
        <v/>
      </c>
      <c r="G10" s="33" t="inlineStr">
        <is>
          <t>Exempelrader – byt ut mot ditt eget pass.</t>
        </is>
      </c>
    </row>
    <row r="11">
      <c r="A11" s="20" t="n">
        <v>2</v>
      </c>
      <c r="B11" s="33" t="inlineStr">
        <is>
          <t>Mottagning med insidan</t>
        </is>
      </c>
      <c r="C11" s="19">
        <f>IF($B11="","",IFERROR(INDEX('Övningar'!$E$3:$E$500,MATCH($B11,'Övningar'!$B$3:$B$500,0)),""))</f>
        <v/>
      </c>
      <c r="D11" s="17">
        <f>IF($B11="","",IFERROR(INDEX('Övningar'!$G$3:$G$500,MATCH($B11,'Övningar'!$B$3:$B$500,0)),""))</f>
        <v/>
      </c>
      <c r="E11" s="18">
        <f>IF($B11="","",IFERROR(INDEX('Övningar'!$K$3:$K$500,MATCH($B11,'Övningar'!$B$3:$B$500,0)),""))</f>
        <v/>
      </c>
      <c r="F11" s="17">
        <f>IF($B11="","",IFERROR(INDEX('Övningar'!$J$3:$J$500,MATCH($B11,'Övningar'!$B$3:$B$500,0)),""))</f>
        <v/>
      </c>
      <c r="G11" s="33" t="n"/>
    </row>
    <row r="12">
      <c r="A12" s="20" t="n">
        <v>3</v>
      </c>
      <c r="B12" s="33" t="inlineStr">
        <is>
          <t>Insidespassning i konrutan</t>
        </is>
      </c>
      <c r="C12" s="19">
        <f>IF($B12="","",IFERROR(INDEX('Övningar'!$E$3:$E$500,MATCH($B12,'Övningar'!$B$3:$B$500,0)),""))</f>
        <v/>
      </c>
      <c r="D12" s="17">
        <f>IF($B12="","",IFERROR(INDEX('Övningar'!$G$3:$G$500,MATCH($B12,'Övningar'!$B$3:$B$500,0)),""))</f>
        <v/>
      </c>
      <c r="E12" s="18">
        <f>IF($B12="","",IFERROR(INDEX('Övningar'!$K$3:$K$500,MATCH($B12,'Övningar'!$B$3:$B$500,0)),""))</f>
        <v/>
      </c>
      <c r="F12" s="17">
        <f>IF($B12="","",IFERROR(INDEX('Övningar'!$J$3:$J$500,MATCH($B12,'Övningar'!$B$3:$B$500,0)),""))</f>
        <v/>
      </c>
      <c r="G12" s="33" t="n"/>
    </row>
    <row r="13">
      <c r="A13" s="20" t="n">
        <v>4</v>
      </c>
      <c r="B13" s="33" t="inlineStr">
        <is>
          <t>Fint och vändning i fart</t>
        </is>
      </c>
      <c r="C13" s="19">
        <f>IF($B13="","",IFERROR(INDEX('Övningar'!$E$3:$E$500,MATCH($B13,'Övningar'!$B$3:$B$500,0)),""))</f>
        <v/>
      </c>
      <c r="D13" s="17">
        <f>IF($B13="","",IFERROR(INDEX('Övningar'!$G$3:$G$500,MATCH($B13,'Övningar'!$B$3:$B$500,0)),""))</f>
        <v/>
      </c>
      <c r="E13" s="18">
        <f>IF($B13="","",IFERROR(INDEX('Övningar'!$K$3:$K$500,MATCH($B13,'Övningar'!$B$3:$B$500,0)),""))</f>
        <v/>
      </c>
      <c r="F13" s="17">
        <f>IF($B13="","",IFERROR(INDEX('Övningar'!$J$3:$J$500,MATCH($B13,'Övningar'!$B$3:$B$500,0)),""))</f>
        <v/>
      </c>
      <c r="G13" s="33" t="n"/>
    </row>
    <row r="14">
      <c r="A14" s="20" t="n">
        <v>5</v>
      </c>
      <c r="B14" s="33" t="inlineStr">
        <is>
          <t>Snabba fötter vid konerna</t>
        </is>
      </c>
      <c r="C14" s="19">
        <f>IF($B14="","",IFERROR(INDEX('Övningar'!$E$3:$E$500,MATCH($B14,'Övningar'!$B$3:$B$500,0)),""))</f>
        <v/>
      </c>
      <c r="D14" s="17">
        <f>IF($B14="","",IFERROR(INDEX('Övningar'!$G$3:$G$500,MATCH($B14,'Övningar'!$B$3:$B$500,0)),""))</f>
        <v/>
      </c>
      <c r="E14" s="18">
        <f>IF($B14="","",IFERROR(INDEX('Övningar'!$K$3:$K$500,MATCH($B14,'Övningar'!$B$3:$B$500,0)),""))</f>
        <v/>
      </c>
      <c r="F14" s="17">
        <f>IF($B14="","",IFERROR(INDEX('Övningar'!$J$3:$J$500,MATCH($B14,'Övningar'!$B$3:$B$500,0)),""))</f>
        <v/>
      </c>
      <c r="G14" s="33" t="n"/>
    </row>
    <row r="15">
      <c r="A15" s="20" t="n">
        <v>6</v>
      </c>
      <c r="B15" s="33" t="n"/>
      <c r="C15" s="19">
        <f>IF($B15="","",IFERROR(INDEX('Övningar'!$E$3:$E$500,MATCH($B15,'Övningar'!$B$3:$B$500,0)),""))</f>
        <v/>
      </c>
      <c r="D15" s="17">
        <f>IF($B15="","",IFERROR(INDEX('Övningar'!$G$3:$G$500,MATCH($B15,'Övningar'!$B$3:$B$500,0)),""))</f>
        <v/>
      </c>
      <c r="E15" s="18">
        <f>IF($B15="","",IFERROR(INDEX('Övningar'!$K$3:$K$500,MATCH($B15,'Övningar'!$B$3:$B$500,0)),""))</f>
        <v/>
      </c>
      <c r="F15" s="17">
        <f>IF($B15="","",IFERROR(INDEX('Övningar'!$J$3:$J$500,MATCH($B15,'Övningar'!$B$3:$B$500,0)),""))</f>
        <v/>
      </c>
      <c r="G15" s="33" t="n"/>
    </row>
    <row r="16">
      <c r="A16" s="20" t="n">
        <v>7</v>
      </c>
      <c r="B16" s="33" t="n"/>
      <c r="C16" s="19">
        <f>IF($B16="","",IFERROR(INDEX('Övningar'!$E$3:$E$500,MATCH($B16,'Övningar'!$B$3:$B$500,0)),""))</f>
        <v/>
      </c>
      <c r="D16" s="17">
        <f>IF($B16="","",IFERROR(INDEX('Övningar'!$G$3:$G$500,MATCH($B16,'Övningar'!$B$3:$B$500,0)),""))</f>
        <v/>
      </c>
      <c r="E16" s="18">
        <f>IF($B16="","",IFERROR(INDEX('Övningar'!$K$3:$K$500,MATCH($B16,'Övningar'!$B$3:$B$500,0)),""))</f>
        <v/>
      </c>
      <c r="F16" s="17">
        <f>IF($B16="","",IFERROR(INDEX('Övningar'!$J$3:$J$500,MATCH($B16,'Övningar'!$B$3:$B$500,0)),""))</f>
        <v/>
      </c>
      <c r="G16" s="33" t="n"/>
    </row>
    <row r="17">
      <c r="A17" s="20" t="n">
        <v>8</v>
      </c>
      <c r="B17" s="33" t="n"/>
      <c r="C17" s="19">
        <f>IF($B17="","",IFERROR(INDEX('Övningar'!$E$3:$E$500,MATCH($B17,'Övningar'!$B$3:$B$500,0)),""))</f>
        <v/>
      </c>
      <c r="D17" s="17">
        <f>IF($B17="","",IFERROR(INDEX('Övningar'!$G$3:$G$500,MATCH($B17,'Övningar'!$B$3:$B$500,0)),""))</f>
        <v/>
      </c>
      <c r="E17" s="18">
        <f>IF($B17="","",IFERROR(INDEX('Övningar'!$K$3:$K$500,MATCH($B17,'Övningar'!$B$3:$B$500,0)),""))</f>
        <v/>
      </c>
      <c r="F17" s="17">
        <f>IF($B17="","",IFERROR(INDEX('Övningar'!$J$3:$J$500,MATCH($B17,'Övningar'!$B$3:$B$500,0)),""))</f>
        <v/>
      </c>
      <c r="G17" s="33" t="n"/>
    </row>
    <row r="18">
      <c r="A18" s="20" t="n">
        <v>9</v>
      </c>
      <c r="B18" s="33" t="n"/>
      <c r="C18" s="19">
        <f>IF($B18="","",IFERROR(INDEX('Övningar'!$E$3:$E$500,MATCH($B18,'Övningar'!$B$3:$B$500,0)),""))</f>
        <v/>
      </c>
      <c r="D18" s="17">
        <f>IF($B18="","",IFERROR(INDEX('Övningar'!$G$3:$G$500,MATCH($B18,'Övningar'!$B$3:$B$500,0)),""))</f>
        <v/>
      </c>
      <c r="E18" s="18">
        <f>IF($B18="","",IFERROR(INDEX('Övningar'!$K$3:$K$500,MATCH($B18,'Övningar'!$B$3:$B$500,0)),""))</f>
        <v/>
      </c>
      <c r="F18" s="17">
        <f>IF($B18="","",IFERROR(INDEX('Övningar'!$J$3:$J$500,MATCH($B18,'Övningar'!$B$3:$B$500,0)),""))</f>
        <v/>
      </c>
      <c r="G18" s="33" t="n"/>
    </row>
    <row r="19">
      <c r="A19" s="20" t="n">
        <v>10</v>
      </c>
      <c r="B19" s="33" t="n"/>
      <c r="C19" s="19">
        <f>IF($B19="","",IFERROR(INDEX('Övningar'!$E$3:$E$500,MATCH($B19,'Övningar'!$B$3:$B$500,0)),""))</f>
        <v/>
      </c>
      <c r="D19" s="17">
        <f>IF($B19="","",IFERROR(INDEX('Övningar'!$G$3:$G$500,MATCH($B19,'Övningar'!$B$3:$B$500,0)),""))</f>
        <v/>
      </c>
      <c r="E19" s="18">
        <f>IF($B19="","",IFERROR(INDEX('Övningar'!$K$3:$K$500,MATCH($B19,'Övningar'!$B$3:$B$500,0)),""))</f>
        <v/>
      </c>
      <c r="F19" s="17">
        <f>IF($B19="","",IFERROR(INDEX('Övningar'!$J$3:$J$500,MATCH($B19,'Övningar'!$B$3:$B$500,0)),""))</f>
        <v/>
      </c>
      <c r="G19" s="33" t="n"/>
    </row>
    <row r="20">
      <c r="A20" s="20" t="n">
        <v>11</v>
      </c>
      <c r="B20" s="33" t="n"/>
      <c r="C20" s="19">
        <f>IF($B20="","",IFERROR(INDEX('Övningar'!$E$3:$E$500,MATCH($B20,'Övningar'!$B$3:$B$500,0)),""))</f>
        <v/>
      </c>
      <c r="D20" s="17">
        <f>IF($B20="","",IFERROR(INDEX('Övningar'!$G$3:$G$500,MATCH($B20,'Övningar'!$B$3:$B$500,0)),""))</f>
        <v/>
      </c>
      <c r="E20" s="18">
        <f>IF($B20="","",IFERROR(INDEX('Övningar'!$K$3:$K$500,MATCH($B20,'Övningar'!$B$3:$B$500,0)),""))</f>
        <v/>
      </c>
      <c r="F20" s="17">
        <f>IF($B20="","",IFERROR(INDEX('Övningar'!$J$3:$J$500,MATCH($B20,'Övningar'!$B$3:$B$500,0)),""))</f>
        <v/>
      </c>
      <c r="G20" s="33" t="n"/>
    </row>
    <row r="21">
      <c r="A21" s="20" t="n">
        <v>12</v>
      </c>
      <c r="B21" s="33" t="n"/>
      <c r="C21" s="19">
        <f>IF($B21="","",IFERROR(INDEX('Övningar'!$E$3:$E$500,MATCH($B21,'Övningar'!$B$3:$B$500,0)),""))</f>
        <v/>
      </c>
      <c r="D21" s="17">
        <f>IF($B21="","",IFERROR(INDEX('Övningar'!$G$3:$G$500,MATCH($B21,'Övningar'!$B$3:$B$500,0)),""))</f>
        <v/>
      </c>
      <c r="E21" s="18">
        <f>IF($B21="","",IFERROR(INDEX('Övningar'!$K$3:$K$500,MATCH($B21,'Övningar'!$B$3:$B$500,0)),""))</f>
        <v/>
      </c>
      <c r="F21" s="17">
        <f>IF($B21="","",IFERROR(INDEX('Övningar'!$J$3:$J$500,MATCH($B21,'Övningar'!$B$3:$B$500,0)),""))</f>
        <v/>
      </c>
      <c r="G21" s="33" t="n"/>
    </row>
    <row r="22">
      <c r="B22" s="3" t="inlineStr">
        <is>
          <t>Totalt</t>
        </is>
      </c>
      <c r="C22" s="34">
        <f>SUM(C10:C21)</f>
        <v/>
      </c>
    </row>
    <row r="23">
      <c r="B23" s="3" t="inlineStr">
        <is>
          <t>Kvar till riktmärket</t>
        </is>
      </c>
      <c r="C23" s="34">
        <f>$B$7-C22</f>
        <v/>
      </c>
    </row>
  </sheetData>
  <mergeCells count="4">
    <mergeCell ref="A6"/>
    <mergeCell ref="A5"/>
    <mergeCell ref="A7"/>
    <mergeCell ref="A4"/>
  </mergeCells>
  <conditionalFormatting sqref="C23">
    <cfRule type="cellIs" priority="1" operator="lessThan" dxfId="1">
      <formula>0</formula>
    </cfRule>
  </conditionalFormatting>
  <dataValidations count="1">
    <dataValidation sqref="B10:B21" showDropDown="0" showInputMessage="0" showErrorMessage="1" allowBlank="1" errorTitle="Övning" error="Välj en övning från fliken Övningar. Lägg till nya övningar där först." type="list">
      <formula1>'Övningar'!$B$3:$B$500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2026-10-26T22:25:08Z</dcterms:created>
  <dcterms:modified xmlns:dcterms="http://purl.org/dc/terms/" xmlns:xsi="http://www.w3.org/2001/XMLSchema-instance" xsi:type="dcterms:W3CDTF">2026-10-26T22:25:08Z</dcterms:modified>
</cp:coreProperties>
</file>